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EU Cost of Living\"/>
    </mc:Choice>
  </mc:AlternateContent>
  <xr:revisionPtr revIDLastSave="0" documentId="13_ncr:1_{EEB90BEF-09D7-4041-BEFC-4C103544C3DE}" xr6:coauthVersionLast="47" xr6:coauthVersionMax="47" xr10:uidLastSave="{00000000-0000-0000-0000-000000000000}"/>
  <bookViews>
    <workbookView xWindow="-108" yWindow="-108" windowWidth="23256" windowHeight="12456" xr2:uid="{B80FC532-21E9-4E92-8535-4E9AC1665B07}"/>
  </bookViews>
  <sheets>
    <sheet name="Cost of Living Analysis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" i="1"/>
</calcChain>
</file>

<file path=xl/sharedStrings.xml><?xml version="1.0" encoding="utf-8"?>
<sst xmlns="http://schemas.openxmlformats.org/spreadsheetml/2006/main" count="477" uniqueCount="302">
  <si>
    <t>City</t>
  </si>
  <si>
    <t>Country</t>
  </si>
  <si>
    <t>Rank</t>
  </si>
  <si>
    <t>Rent Index</t>
  </si>
  <si>
    <t>Cost of Living &amp; Rent Index</t>
  </si>
  <si>
    <t>Groceries Index</t>
  </si>
  <si>
    <t>Restaurant Price Index</t>
  </si>
  <si>
    <t>Local Purchasing Power Index</t>
  </si>
  <si>
    <t>Tirana</t>
  </si>
  <si>
    <t xml:space="preserve"> Albania</t>
  </si>
  <si>
    <t>Vienna</t>
  </si>
  <si>
    <t xml:space="preserve"> Austria</t>
  </si>
  <si>
    <t>Graz</t>
  </si>
  <si>
    <t>Villach</t>
  </si>
  <si>
    <t>Minsk</t>
  </si>
  <si>
    <t xml:space="preserve"> Belarus</t>
  </si>
  <si>
    <t>Brussels</t>
  </si>
  <si>
    <t xml:space="preserve"> Belgium</t>
  </si>
  <si>
    <t>Gent</t>
  </si>
  <si>
    <t>Antwerp</t>
  </si>
  <si>
    <t>Leuven</t>
  </si>
  <si>
    <t>Sarajevo</t>
  </si>
  <si>
    <t xml:space="preserve"> Bosnia And Herzegovina</t>
  </si>
  <si>
    <t>Sofia</t>
  </si>
  <si>
    <t xml:space="preserve"> Bulgaria</t>
  </si>
  <si>
    <t>Varna</t>
  </si>
  <si>
    <t>Burgas</t>
  </si>
  <si>
    <t>Plovdiv</t>
  </si>
  <si>
    <t>Stara Zagora</t>
  </si>
  <si>
    <t>Split</t>
  </si>
  <si>
    <t xml:space="preserve"> Croatia</t>
  </si>
  <si>
    <t>Zagreb</t>
  </si>
  <si>
    <t>Rijeka</t>
  </si>
  <si>
    <t>Prague</t>
  </si>
  <si>
    <t xml:space="preserve"> Czech Republic</t>
  </si>
  <si>
    <t>Brno</t>
  </si>
  <si>
    <t>Plzen</t>
  </si>
  <si>
    <t>Ostrava</t>
  </si>
  <si>
    <t>Copenhagen</t>
  </si>
  <si>
    <t xml:space="preserve"> Denmark</t>
  </si>
  <si>
    <t>Aalborg</t>
  </si>
  <si>
    <t>Aarhus</t>
  </si>
  <si>
    <t>Odense</t>
  </si>
  <si>
    <t>Tallinn</t>
  </si>
  <si>
    <t xml:space="preserve"> Estonia</t>
  </si>
  <si>
    <t>Tartu</t>
  </si>
  <si>
    <t>Espoo</t>
  </si>
  <si>
    <t xml:space="preserve"> Finland</t>
  </si>
  <si>
    <t>Helsinki</t>
  </si>
  <si>
    <t>Turku</t>
  </si>
  <si>
    <t>Paris</t>
  </si>
  <si>
    <t xml:space="preserve"> France</t>
  </si>
  <si>
    <t>Strasbourg</t>
  </si>
  <si>
    <t>Marseille</t>
  </si>
  <si>
    <t>Nice</t>
  </si>
  <si>
    <t>Lyon</t>
  </si>
  <si>
    <t>Bordeaux</t>
  </si>
  <si>
    <t>Toulouse</t>
  </si>
  <si>
    <t>Lille</t>
  </si>
  <si>
    <t>Grenoble</t>
  </si>
  <si>
    <t>Montpellier</t>
  </si>
  <si>
    <t>Munich</t>
  </si>
  <si>
    <t xml:space="preserve"> Germany</t>
  </si>
  <si>
    <t>Frankfurt</t>
  </si>
  <si>
    <t>Dusseldorf</t>
  </si>
  <si>
    <t>Heidelberg</t>
  </si>
  <si>
    <t>Hamburg</t>
  </si>
  <si>
    <t>Wiesbaden</t>
  </si>
  <si>
    <t>Darmstadt</t>
  </si>
  <si>
    <t>Stuttgart</t>
  </si>
  <si>
    <t>Cologne</t>
  </si>
  <si>
    <t>Augsburg</t>
  </si>
  <si>
    <t>Essen</t>
  </si>
  <si>
    <t>Dortmund</t>
  </si>
  <si>
    <t>Berlin</t>
  </si>
  <si>
    <t>Kiel</t>
  </si>
  <si>
    <t>Bonn</t>
  </si>
  <si>
    <t>Nuremberg</t>
  </si>
  <si>
    <t>Dresden</t>
  </si>
  <si>
    <t>Karlsruhe</t>
  </si>
  <si>
    <t>Mannheim</t>
  </si>
  <si>
    <t>Bremen</t>
  </si>
  <si>
    <t>Hanover</t>
  </si>
  <si>
    <t>Leipzig</t>
  </si>
  <si>
    <t>Erlangen</t>
  </si>
  <si>
    <t>Aachen</t>
  </si>
  <si>
    <t>Remagen</t>
  </si>
  <si>
    <t>Athens</t>
  </si>
  <si>
    <t xml:space="preserve"> Greece</t>
  </si>
  <si>
    <t>Heraklion</t>
  </si>
  <si>
    <t>Thessaloniki</t>
  </si>
  <si>
    <t>Budapest</t>
  </si>
  <si>
    <t xml:space="preserve"> Hungary</t>
  </si>
  <si>
    <t>Pecs</t>
  </si>
  <si>
    <t>Debrecen</t>
  </si>
  <si>
    <t>Reykjavik</t>
  </si>
  <si>
    <t xml:space="preserve"> Iceland</t>
  </si>
  <si>
    <t>Dublin</t>
  </si>
  <si>
    <t xml:space="preserve"> Ireland</t>
  </si>
  <si>
    <t>Cork</t>
  </si>
  <si>
    <t>Galway</t>
  </si>
  <si>
    <t>Limerick</t>
  </si>
  <si>
    <t>Milan</t>
  </si>
  <si>
    <t xml:space="preserve"> Italy</t>
  </si>
  <si>
    <t>Florence</t>
  </si>
  <si>
    <t>Brescia</t>
  </si>
  <si>
    <t>Bologna</t>
  </si>
  <si>
    <t>Treviso</t>
  </si>
  <si>
    <t>Bolzano-Bozen</t>
  </si>
  <si>
    <t>Padova</t>
  </si>
  <si>
    <t>Trento</t>
  </si>
  <si>
    <t>Rome</t>
  </si>
  <si>
    <t>Cagliari</t>
  </si>
  <si>
    <t>Genoa</t>
  </si>
  <si>
    <t>Trieste</t>
  </si>
  <si>
    <t>Bergamo</t>
  </si>
  <si>
    <t>Turin</t>
  </si>
  <si>
    <t>Reggio Nell'emilia</t>
  </si>
  <si>
    <t>Naples</t>
  </si>
  <si>
    <t>Pisa</t>
  </si>
  <si>
    <t>Bari</t>
  </si>
  <si>
    <t>Catania</t>
  </si>
  <si>
    <t>Pristina</t>
  </si>
  <si>
    <t xml:space="preserve"> Kosovo (Disputed Territory)</t>
  </si>
  <si>
    <t>Riga</t>
  </si>
  <si>
    <t xml:space="preserve"> Latvia</t>
  </si>
  <si>
    <t>Vilnius</t>
  </si>
  <si>
    <t xml:space="preserve"> Lithuania</t>
  </si>
  <si>
    <t>Kaunas</t>
  </si>
  <si>
    <t>Luxembourg</t>
  </si>
  <si>
    <t xml:space="preserve"> Luxembourg</t>
  </si>
  <si>
    <t>Sliema</t>
  </si>
  <si>
    <t xml:space="preserve"> Malta</t>
  </si>
  <si>
    <t>Valletta</t>
  </si>
  <si>
    <t>Chisinau</t>
  </si>
  <si>
    <t xml:space="preserve"> Moldova</t>
  </si>
  <si>
    <t>Podgorica</t>
  </si>
  <si>
    <t xml:space="preserve"> Montenegro</t>
  </si>
  <si>
    <t>Amsterdam</t>
  </si>
  <si>
    <t xml:space="preserve"> Netherlands</t>
  </si>
  <si>
    <t>Haarlem</t>
  </si>
  <si>
    <t>Utrecht</t>
  </si>
  <si>
    <t>Rotterdam</t>
  </si>
  <si>
    <t>Delft</t>
  </si>
  <si>
    <t>The Hague (Den Haag)</t>
  </si>
  <si>
    <t>Eindhoven</t>
  </si>
  <si>
    <t>Leiden</t>
  </si>
  <si>
    <t>Groningen</t>
  </si>
  <si>
    <t>Skopje</t>
  </si>
  <si>
    <t xml:space="preserve"> North Macedonia</t>
  </si>
  <si>
    <t>Oslo</t>
  </si>
  <si>
    <t xml:space="preserve"> Norway</t>
  </si>
  <si>
    <t>Bergen</t>
  </si>
  <si>
    <t>Trondheim</t>
  </si>
  <si>
    <t>Stavanger</t>
  </si>
  <si>
    <t>Warsaw</t>
  </si>
  <si>
    <t xml:space="preserve"> Poland</t>
  </si>
  <si>
    <t>Gdansk</t>
  </si>
  <si>
    <t>Krakow (Cracow)</t>
  </si>
  <si>
    <t>Wroclaw</t>
  </si>
  <si>
    <t>Lodz</t>
  </si>
  <si>
    <t>Poznan</t>
  </si>
  <si>
    <t>Szczecin</t>
  </si>
  <si>
    <t>Katowice</t>
  </si>
  <si>
    <t>Lisbon</t>
  </si>
  <si>
    <t xml:space="preserve"> Portugal</t>
  </si>
  <si>
    <t>Porto</t>
  </si>
  <si>
    <t>Coimbra</t>
  </si>
  <si>
    <t>Braga</t>
  </si>
  <si>
    <t>Bucharest</t>
  </si>
  <si>
    <t xml:space="preserve"> Romania</t>
  </si>
  <si>
    <t>Cluj-Napoca</t>
  </si>
  <si>
    <t>Brasov</t>
  </si>
  <si>
    <t>Constanta</t>
  </si>
  <si>
    <t>Timisoara</t>
  </si>
  <si>
    <t>Iasi</t>
  </si>
  <si>
    <t>Craiova</t>
  </si>
  <si>
    <t>Sibiu</t>
  </si>
  <si>
    <t>Oradea</t>
  </si>
  <si>
    <t>Moscow</t>
  </si>
  <si>
    <t xml:space="preserve"> Russia</t>
  </si>
  <si>
    <t>Vladivostok</t>
  </si>
  <si>
    <t>Yekaterinburg</t>
  </si>
  <si>
    <t>Saint Petersburg</t>
  </si>
  <si>
    <t>Tyumen</t>
  </si>
  <si>
    <t>Kazan</t>
  </si>
  <si>
    <t>Novosibirsk</t>
  </si>
  <si>
    <t>Kaliningrad</t>
  </si>
  <si>
    <t>Ufa</t>
  </si>
  <si>
    <t>Samara</t>
  </si>
  <si>
    <t>Krasnodar</t>
  </si>
  <si>
    <t>Nizhny Novgorod</t>
  </si>
  <si>
    <t>Tomsk</t>
  </si>
  <si>
    <t>Rostov-on-Don (Rostov-na-donu)</t>
  </si>
  <si>
    <t>Chelyabinsk</t>
  </si>
  <si>
    <t>Perm</t>
  </si>
  <si>
    <t>Belgrade</t>
  </si>
  <si>
    <t xml:space="preserve"> Serbia</t>
  </si>
  <si>
    <t>Novi Sad</t>
  </si>
  <si>
    <t>Nis</t>
  </si>
  <si>
    <t>Bratislava</t>
  </si>
  <si>
    <t xml:space="preserve"> Slovakia</t>
  </si>
  <si>
    <t>Kosice</t>
  </si>
  <si>
    <t>Ljubljana</t>
  </si>
  <si>
    <t xml:space="preserve"> Slovenia</t>
  </si>
  <si>
    <t>Madrid</t>
  </si>
  <si>
    <t xml:space="preserve"> Spain</t>
  </si>
  <si>
    <t>Barcelona</t>
  </si>
  <si>
    <t>Palma de Mallorca</t>
  </si>
  <si>
    <t>Bilbao</t>
  </si>
  <si>
    <t>Oviedo</t>
  </si>
  <si>
    <t>Malaga</t>
  </si>
  <si>
    <t>Santa Cruz de Tenerife</t>
  </si>
  <si>
    <t>Alicante</t>
  </si>
  <si>
    <t>Valencia</t>
  </si>
  <si>
    <t>Seville (Sevilla)</t>
  </si>
  <si>
    <t>Las Palmas de Gran Canaria</t>
  </si>
  <si>
    <t>Granada</t>
  </si>
  <si>
    <t>Stockholm</t>
  </si>
  <si>
    <t xml:space="preserve"> Sweden</t>
  </si>
  <si>
    <t>Malmo</t>
  </si>
  <si>
    <t>Gothenburg</t>
  </si>
  <si>
    <t>Uppsala</t>
  </si>
  <si>
    <t>Lund</t>
  </si>
  <si>
    <t>Zurich</t>
  </si>
  <si>
    <t xml:space="preserve"> Switzerland</t>
  </si>
  <si>
    <t>Geneva</t>
  </si>
  <si>
    <t>Basel</t>
  </si>
  <si>
    <t>Lausanne</t>
  </si>
  <si>
    <t>Lugano</t>
  </si>
  <si>
    <t>Bern</t>
  </si>
  <si>
    <t>Kiev (Kyiv)</t>
  </si>
  <si>
    <t xml:space="preserve"> Ukraine</t>
  </si>
  <si>
    <t>Dnipro</t>
  </si>
  <si>
    <t>Odessa (Odesa)</t>
  </si>
  <si>
    <t>Lviv</t>
  </si>
  <si>
    <t>Kharkiv</t>
  </si>
  <si>
    <t>London</t>
  </si>
  <si>
    <t xml:space="preserve"> United Kingdom</t>
  </si>
  <si>
    <t>Oxford</t>
  </si>
  <si>
    <t>Guildford</t>
  </si>
  <si>
    <t>Brighton</t>
  </si>
  <si>
    <t>Cambridge</t>
  </si>
  <si>
    <t>Edinburgh</t>
  </si>
  <si>
    <t>Reading</t>
  </si>
  <si>
    <t>Bristol</t>
  </si>
  <si>
    <t>Southampton</t>
  </si>
  <si>
    <t>Manchester</t>
  </si>
  <si>
    <t>Birmingham</t>
  </si>
  <si>
    <t>Leeds</t>
  </si>
  <si>
    <t>Glasgow</t>
  </si>
  <si>
    <t>Newcastle upon Tyne</t>
  </si>
  <si>
    <t>Milton Keynes</t>
  </si>
  <si>
    <t>York</t>
  </si>
  <si>
    <t>Cardiff</t>
  </si>
  <si>
    <t>Bournemouth</t>
  </si>
  <si>
    <t>Liverpool</t>
  </si>
  <si>
    <t>Belfast</t>
  </si>
  <si>
    <t>Nottingham</t>
  </si>
  <si>
    <t>Coventry</t>
  </si>
  <si>
    <t>Sheffield</t>
  </si>
  <si>
    <t>Beer Price (Euro)</t>
  </si>
  <si>
    <t>Switzerland</t>
  </si>
  <si>
    <t>Norway</t>
  </si>
  <si>
    <t>United Kingdom</t>
  </si>
  <si>
    <t>Ireland</t>
  </si>
  <si>
    <t>France</t>
  </si>
  <si>
    <t>Germany</t>
  </si>
  <si>
    <t>Netherlands</t>
  </si>
  <si>
    <t>Belgium</t>
  </si>
  <si>
    <t>Austria</t>
  </si>
  <si>
    <t>Denmark</t>
  </si>
  <si>
    <t>Finland</t>
  </si>
  <si>
    <t>Sweden</t>
  </si>
  <si>
    <t>Italy</t>
  </si>
  <si>
    <t>Spain</t>
  </si>
  <si>
    <t>Portugal</t>
  </si>
  <si>
    <t>Greece</t>
  </si>
  <si>
    <t>Czech Republic</t>
  </si>
  <si>
    <t>Poland</t>
  </si>
  <si>
    <t>Hungary</t>
  </si>
  <si>
    <t>Slovakia</t>
  </si>
  <si>
    <t>Slovenia</t>
  </si>
  <si>
    <t>Bulgaria</t>
  </si>
  <si>
    <t>Romania</t>
  </si>
  <si>
    <t>Croatia</t>
  </si>
  <si>
    <t>Estonia</t>
  </si>
  <si>
    <t>Latvia</t>
  </si>
  <si>
    <t>Lithuania</t>
  </si>
  <si>
    <t>Ukraine</t>
  </si>
  <si>
    <t>Albania</t>
  </si>
  <si>
    <t>Russia</t>
  </si>
  <si>
    <t>Belarus</t>
  </si>
  <si>
    <t>Serbia</t>
  </si>
  <si>
    <t>Bosnia And Herzegovina</t>
  </si>
  <si>
    <t>Moldova</t>
  </si>
  <si>
    <t>North Macedonia</t>
  </si>
  <si>
    <t>Kosovo (Disputed Territory)</t>
  </si>
  <si>
    <t>Malta</t>
  </si>
  <si>
    <t>Iceland</t>
  </si>
  <si>
    <t>Montenegro</t>
  </si>
  <si>
    <t>Estimated Beer Price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</si>
</sst>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 Condensed"/>
      <family val="2"/>
      <scheme val="major"/>
    </font>
    <font>
      <b/>
      <sz val="15"/>
      <color theme="3"/>
      <name val="Tw Cen MT"/>
      <family val="2"/>
      <scheme val="minor"/>
    </font>
    <font>
      <b/>
      <sz val="13"/>
      <color theme="3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006100"/>
      <name val="Tw Cen MT"/>
      <family val="2"/>
      <scheme val="minor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sz val="11"/>
      <color rgb="FF3F3F76"/>
      <name val="Tw Cen MT"/>
      <family val="2"/>
      <scheme val="minor"/>
    </font>
    <font>
      <b/>
      <sz val="11"/>
      <color rgb="FF3F3F3F"/>
      <name val="Tw Cen MT"/>
      <family val="2"/>
      <scheme val="minor"/>
    </font>
    <font>
      <b/>
      <sz val="11"/>
      <color rgb="FFFA7D00"/>
      <name val="Tw Cen MT"/>
      <family val="2"/>
      <scheme val="minor"/>
    </font>
    <font>
      <sz val="11"/>
      <color rgb="FFFA7D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Tw Cen MT"/>
      <family val="2"/>
      <scheme val="minor"/>
    </font>
    <font>
      <i/>
      <sz val="11"/>
      <color rgb="FF7F7F7F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33" borderId="0" xfId="0" applyFill="1"/>
    <xf numFmtId="0" fontId="0" fillId="33" borderId="10" xfId="0" applyFill="1" applyBorder="1"/>
    <xf numFmtId="164" fontId="0" fillId="33" borderId="10" xfId="0" applyNumberFormat="1" applyFill="1" applyBorder="1"/>
    <xf numFmtId="0" fontId="0" fillId="0" borderId="10" xfId="0" applyBorder="1"/>
    <xf numFmtId="164" fontId="0" fillId="0" borderId="10" xfId="0" applyNumberFormat="1" applyBorder="1"/>
    <xf numFmtId="0" fontId="0" fillId="33" borderId="11" xfId="0" applyFill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2BDA-10C5-4143-967F-F5BB624B2C52}">
  <dimension ref="A1:I214"/>
  <sheetViews>
    <sheetView tabSelected="1" workbookViewId="0">
      <selection activeCell="L14" sqref="L14"/>
    </sheetView>
  </sheetViews>
  <sheetFormatPr defaultRowHeight="13.8" x14ac:dyDescent="0.25"/>
  <cols>
    <col min="1" max="1" width="23.69921875" customWidth="1"/>
    <col min="2" max="2" width="20.5" customWidth="1"/>
    <col min="4" max="4" width="13.3984375" customWidth="1"/>
    <col min="5" max="5" width="24.796875" customWidth="1"/>
    <col min="6" max="6" width="12.5" style="1" customWidth="1"/>
    <col min="7" max="7" width="18.69921875" customWidth="1"/>
    <col min="8" max="8" width="22" customWidth="1"/>
    <col min="9" max="9" width="17.59765625" style="5" customWidth="1"/>
  </cols>
  <sheetData>
    <row r="1" spans="1: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7" t="s">
        <v>7</v>
      </c>
      <c r="I1" s="3" t="s">
        <v>301</v>
      </c>
    </row>
    <row r="2" spans="1:9" x14ac:dyDescent="0.25">
      <c r="A2" s="5" t="s">
        <v>8</v>
      </c>
      <c r="B2" s="5" t="s">
        <v>9</v>
      </c>
      <c r="C2" s="5">
        <v>156</v>
      </c>
      <c r="D2" s="5">
        <v>18.3</v>
      </c>
      <c r="E2" s="5">
        <v>35.6</v>
      </c>
      <c r="F2" s="6">
        <v>49.6</v>
      </c>
      <c r="G2" s="5">
        <v>49.7</v>
      </c>
      <c r="H2" s="8">
        <v>45.6</v>
      </c>
      <c r="I2" s="5">
        <f>_xlfn.XLOOKUP(TRIM(B2), Reference!A:A, Reference!B:B)</f>
        <v>2</v>
      </c>
    </row>
    <row r="3" spans="1:9" x14ac:dyDescent="0.25">
      <c r="A3" s="5" t="s">
        <v>10</v>
      </c>
      <c r="B3" s="5" t="s">
        <v>11</v>
      </c>
      <c r="C3" s="5">
        <v>35</v>
      </c>
      <c r="D3" s="5">
        <v>29.6</v>
      </c>
      <c r="E3" s="5">
        <v>54.2</v>
      </c>
      <c r="F3" s="6">
        <v>74</v>
      </c>
      <c r="G3" s="5">
        <v>75</v>
      </c>
      <c r="H3" s="8">
        <v>133.5</v>
      </c>
      <c r="I3" s="5">
        <f>_xlfn.XLOOKUP(TRIM(B3), Reference!A:A, Reference!B:B)</f>
        <v>5</v>
      </c>
    </row>
    <row r="4" spans="1:9" x14ac:dyDescent="0.25">
      <c r="A4" s="5" t="s">
        <v>12</v>
      </c>
      <c r="B4" s="5" t="s">
        <v>11</v>
      </c>
      <c r="C4" s="5">
        <v>56</v>
      </c>
      <c r="D4" s="5">
        <v>20.3</v>
      </c>
      <c r="E4" s="5">
        <v>48.5</v>
      </c>
      <c r="F4" s="6">
        <v>72.7</v>
      </c>
      <c r="G4" s="5">
        <v>71.599999999999994</v>
      </c>
      <c r="H4" s="8">
        <v>124.5</v>
      </c>
      <c r="I4" s="5">
        <f>_xlfn.XLOOKUP(TRIM(B4), Reference!A:A, Reference!B:B)</f>
        <v>5</v>
      </c>
    </row>
    <row r="5" spans="1:9" x14ac:dyDescent="0.25">
      <c r="A5" s="5" t="s">
        <v>13</v>
      </c>
      <c r="B5" s="5" t="s">
        <v>11</v>
      </c>
      <c r="C5" s="5">
        <v>100</v>
      </c>
      <c r="D5" s="5">
        <v>20.100000000000001</v>
      </c>
      <c r="E5" s="5">
        <v>45.4</v>
      </c>
      <c r="F5" s="6">
        <v>62.4</v>
      </c>
      <c r="G5" s="5">
        <v>66.7</v>
      </c>
      <c r="H5" s="8">
        <v>119.3</v>
      </c>
      <c r="I5" s="5">
        <f>_xlfn.XLOOKUP(TRIM(B5), Reference!A:A, Reference!B:B)</f>
        <v>5</v>
      </c>
    </row>
    <row r="6" spans="1:9" x14ac:dyDescent="0.25">
      <c r="A6" s="5" t="s">
        <v>14</v>
      </c>
      <c r="B6" s="5" t="s">
        <v>15</v>
      </c>
      <c r="C6" s="5">
        <v>207</v>
      </c>
      <c r="D6" s="5">
        <v>11.8</v>
      </c>
      <c r="E6" s="5">
        <v>23</v>
      </c>
      <c r="F6" s="6">
        <v>31.5</v>
      </c>
      <c r="G6" s="5">
        <v>35.299999999999997</v>
      </c>
      <c r="H6" s="8">
        <v>70.599999999999994</v>
      </c>
      <c r="I6" s="5">
        <f>_xlfn.XLOOKUP(TRIM(B6), Reference!A:A, Reference!B:B)</f>
        <v>1.8</v>
      </c>
    </row>
    <row r="7" spans="1:9" x14ac:dyDescent="0.25">
      <c r="A7" s="5" t="s">
        <v>16</v>
      </c>
      <c r="B7" s="5" t="s">
        <v>17</v>
      </c>
      <c r="C7" s="5">
        <v>38</v>
      </c>
      <c r="D7" s="5">
        <v>33.1</v>
      </c>
      <c r="E7" s="5">
        <v>55.5</v>
      </c>
      <c r="F7" s="6">
        <v>72</v>
      </c>
      <c r="G7" s="5">
        <v>89.6</v>
      </c>
      <c r="H7" s="8">
        <v>128</v>
      </c>
      <c r="I7" s="5">
        <f>_xlfn.XLOOKUP(TRIM(B7), Reference!A:A, Reference!B:B)</f>
        <v>5</v>
      </c>
    </row>
    <row r="8" spans="1:9" x14ac:dyDescent="0.25">
      <c r="A8" s="5" t="s">
        <v>18</v>
      </c>
      <c r="B8" s="5" t="s">
        <v>17</v>
      </c>
      <c r="C8" s="5">
        <v>41</v>
      </c>
      <c r="D8" s="5">
        <v>26.7</v>
      </c>
      <c r="E8" s="5">
        <v>52.5</v>
      </c>
      <c r="F8" s="6">
        <v>70.7</v>
      </c>
      <c r="G8" s="5">
        <v>89.9</v>
      </c>
      <c r="H8" s="8">
        <v>123.8</v>
      </c>
      <c r="I8" s="5">
        <f>_xlfn.XLOOKUP(TRIM(B8), Reference!A:A, Reference!B:B)</f>
        <v>5</v>
      </c>
    </row>
    <row r="9" spans="1:9" x14ac:dyDescent="0.25">
      <c r="A9" s="5" t="s">
        <v>19</v>
      </c>
      <c r="B9" s="5" t="s">
        <v>17</v>
      </c>
      <c r="C9" s="5">
        <v>51</v>
      </c>
      <c r="D9" s="5">
        <v>24.3</v>
      </c>
      <c r="E9" s="5">
        <v>50.5</v>
      </c>
      <c r="F9" s="6">
        <v>67.599999999999994</v>
      </c>
      <c r="G9" s="5">
        <v>89.4</v>
      </c>
      <c r="H9" s="8">
        <v>119.1</v>
      </c>
      <c r="I9" s="5">
        <f>_xlfn.XLOOKUP(TRIM(B9), Reference!A:A, Reference!B:B)</f>
        <v>5</v>
      </c>
    </row>
    <row r="10" spans="1:9" x14ac:dyDescent="0.25">
      <c r="A10" s="5" t="s">
        <v>20</v>
      </c>
      <c r="B10" s="5" t="s">
        <v>17</v>
      </c>
      <c r="C10" s="5">
        <v>113</v>
      </c>
      <c r="D10" s="5">
        <v>29.7</v>
      </c>
      <c r="E10" s="5">
        <v>47.8</v>
      </c>
      <c r="F10" s="6">
        <v>59.5</v>
      </c>
      <c r="G10" s="5">
        <v>69.599999999999994</v>
      </c>
      <c r="H10" s="8">
        <v>138.19999999999999</v>
      </c>
      <c r="I10" s="5">
        <f>_xlfn.XLOOKUP(TRIM(B10), Reference!A:A, Reference!B:B)</f>
        <v>5</v>
      </c>
    </row>
    <row r="11" spans="1:9" x14ac:dyDescent="0.25">
      <c r="A11" s="5" t="s">
        <v>21</v>
      </c>
      <c r="B11" s="5" t="s">
        <v>22</v>
      </c>
      <c r="C11" s="5">
        <v>180</v>
      </c>
      <c r="D11" s="5">
        <v>12</v>
      </c>
      <c r="E11" s="5">
        <v>29.1</v>
      </c>
      <c r="F11" s="6">
        <v>42.7</v>
      </c>
      <c r="G11" s="5">
        <v>37</v>
      </c>
      <c r="H11" s="8">
        <v>66.400000000000006</v>
      </c>
      <c r="I11" s="5">
        <f>_xlfn.XLOOKUP(TRIM(B11), Reference!A:A, Reference!B:B)</f>
        <v>2</v>
      </c>
    </row>
    <row r="12" spans="1:9" x14ac:dyDescent="0.25">
      <c r="A12" s="5" t="s">
        <v>23</v>
      </c>
      <c r="B12" s="5" t="s">
        <v>24</v>
      </c>
      <c r="C12" s="5">
        <v>170</v>
      </c>
      <c r="D12" s="5">
        <v>18</v>
      </c>
      <c r="E12" s="5">
        <v>33.6</v>
      </c>
      <c r="F12" s="6">
        <v>45.2</v>
      </c>
      <c r="G12" s="5">
        <v>47.1</v>
      </c>
      <c r="H12" s="8">
        <v>96.1</v>
      </c>
      <c r="I12" s="5">
        <f>_xlfn.XLOOKUP(TRIM(B12), Reference!A:A, Reference!B:B)</f>
        <v>2</v>
      </c>
    </row>
    <row r="13" spans="1:9" x14ac:dyDescent="0.25">
      <c r="A13" s="5" t="s">
        <v>25</v>
      </c>
      <c r="B13" s="5" t="s">
        <v>24</v>
      </c>
      <c r="C13" s="5">
        <v>172</v>
      </c>
      <c r="D13" s="5">
        <v>13</v>
      </c>
      <c r="E13" s="5">
        <v>31</v>
      </c>
      <c r="F13" s="6">
        <v>46.9</v>
      </c>
      <c r="G13" s="5">
        <v>45.6</v>
      </c>
      <c r="H13" s="8">
        <v>72.5</v>
      </c>
      <c r="I13" s="5">
        <f>_xlfn.XLOOKUP(TRIM(B13), Reference!A:A, Reference!B:B)</f>
        <v>2</v>
      </c>
    </row>
    <row r="14" spans="1:9" x14ac:dyDescent="0.25">
      <c r="A14" s="5" t="s">
        <v>26</v>
      </c>
      <c r="B14" s="5" t="s">
        <v>24</v>
      </c>
      <c r="C14" s="5">
        <v>184</v>
      </c>
      <c r="D14" s="5">
        <v>12.9</v>
      </c>
      <c r="E14" s="5">
        <v>28.2</v>
      </c>
      <c r="F14" s="6">
        <v>42.2</v>
      </c>
      <c r="G14" s="5">
        <v>43</v>
      </c>
      <c r="H14" s="8">
        <v>72</v>
      </c>
      <c r="I14" s="5">
        <f>_xlfn.XLOOKUP(TRIM(B14), Reference!A:A, Reference!B:B)</f>
        <v>2</v>
      </c>
    </row>
    <row r="15" spans="1:9" x14ac:dyDescent="0.25">
      <c r="A15" s="5" t="s">
        <v>27</v>
      </c>
      <c r="B15" s="5" t="s">
        <v>24</v>
      </c>
      <c r="C15" s="5">
        <v>187</v>
      </c>
      <c r="D15" s="5">
        <v>11.8</v>
      </c>
      <c r="E15" s="5">
        <v>27.5</v>
      </c>
      <c r="F15" s="6">
        <v>42</v>
      </c>
      <c r="G15" s="5">
        <v>39.1</v>
      </c>
      <c r="H15" s="8">
        <v>79.3</v>
      </c>
      <c r="I15" s="5">
        <f>_xlfn.XLOOKUP(TRIM(B15), Reference!A:A, Reference!B:B)</f>
        <v>2</v>
      </c>
    </row>
    <row r="16" spans="1:9" x14ac:dyDescent="0.25">
      <c r="A16" s="5" t="s">
        <v>28</v>
      </c>
      <c r="B16" s="5" t="s">
        <v>24</v>
      </c>
      <c r="C16" s="5">
        <v>205</v>
      </c>
      <c r="D16" s="5">
        <v>7.3</v>
      </c>
      <c r="E16" s="5">
        <v>21.9</v>
      </c>
      <c r="F16" s="6">
        <v>34.799999999999997</v>
      </c>
      <c r="G16" s="5">
        <v>33.1</v>
      </c>
      <c r="H16" s="8">
        <v>105.6</v>
      </c>
      <c r="I16" s="5">
        <f>_xlfn.XLOOKUP(TRIM(B16), Reference!A:A, Reference!B:B)</f>
        <v>2</v>
      </c>
    </row>
    <row r="17" spans="1:9" x14ac:dyDescent="0.25">
      <c r="A17" s="5" t="s">
        <v>29</v>
      </c>
      <c r="B17" s="5" t="s">
        <v>30</v>
      </c>
      <c r="C17" s="5">
        <v>126</v>
      </c>
      <c r="D17" s="5">
        <v>25.7</v>
      </c>
      <c r="E17" s="5">
        <v>43.9</v>
      </c>
      <c r="F17" s="6">
        <v>53.1</v>
      </c>
      <c r="G17" s="5">
        <v>66.3</v>
      </c>
      <c r="H17" s="8">
        <v>74.2</v>
      </c>
      <c r="I17" s="5">
        <f>_xlfn.XLOOKUP(TRIM(B17), Reference!A:A, Reference!B:B)</f>
        <v>3.5</v>
      </c>
    </row>
    <row r="18" spans="1:9" x14ac:dyDescent="0.25">
      <c r="A18" s="5" t="s">
        <v>31</v>
      </c>
      <c r="B18" s="5" t="s">
        <v>30</v>
      </c>
      <c r="C18" s="5">
        <v>137</v>
      </c>
      <c r="D18" s="5">
        <v>20.2</v>
      </c>
      <c r="E18" s="5">
        <v>38.799999999999997</v>
      </c>
      <c r="F18" s="6">
        <v>51.9</v>
      </c>
      <c r="G18" s="5">
        <v>54.7</v>
      </c>
      <c r="H18" s="8">
        <v>98.4</v>
      </c>
      <c r="I18" s="5">
        <f>_xlfn.XLOOKUP(TRIM(B18), Reference!A:A, Reference!B:B)</f>
        <v>3.5</v>
      </c>
    </row>
    <row r="19" spans="1:9" x14ac:dyDescent="0.25">
      <c r="A19" s="5" t="s">
        <v>32</v>
      </c>
      <c r="B19" s="5" t="s">
        <v>30</v>
      </c>
      <c r="C19" s="5">
        <v>138</v>
      </c>
      <c r="D19" s="5">
        <v>16.7</v>
      </c>
      <c r="E19" s="5">
        <v>37.200000000000003</v>
      </c>
      <c r="F19" s="6">
        <v>49.4</v>
      </c>
      <c r="G19" s="5">
        <v>56.9</v>
      </c>
      <c r="H19" s="8">
        <v>79.400000000000006</v>
      </c>
      <c r="I19" s="5">
        <f>_xlfn.XLOOKUP(TRIM(B19), Reference!A:A, Reference!B:B)</f>
        <v>3.5</v>
      </c>
    </row>
    <row r="20" spans="1:9" x14ac:dyDescent="0.25">
      <c r="A20" s="5" t="s">
        <v>33</v>
      </c>
      <c r="B20" s="5" t="s">
        <v>34</v>
      </c>
      <c r="C20" s="5">
        <v>121</v>
      </c>
      <c r="D20" s="5">
        <v>32</v>
      </c>
      <c r="E20" s="5">
        <v>47.3</v>
      </c>
      <c r="F20" s="6">
        <v>52.9</v>
      </c>
      <c r="G20" s="5">
        <v>50.5</v>
      </c>
      <c r="H20" s="8">
        <v>94.2</v>
      </c>
      <c r="I20" s="5">
        <f>_xlfn.XLOOKUP(TRIM(B20), Reference!A:A, Reference!B:B)</f>
        <v>2.5</v>
      </c>
    </row>
    <row r="21" spans="1:9" x14ac:dyDescent="0.25">
      <c r="A21" s="5" t="s">
        <v>35</v>
      </c>
      <c r="B21" s="5" t="s">
        <v>34</v>
      </c>
      <c r="C21" s="5">
        <v>142</v>
      </c>
      <c r="D21" s="5">
        <v>22.6</v>
      </c>
      <c r="E21" s="5">
        <v>39.6</v>
      </c>
      <c r="F21" s="6">
        <v>50.7</v>
      </c>
      <c r="G21" s="5">
        <v>43.6</v>
      </c>
      <c r="H21" s="8">
        <v>93.4</v>
      </c>
      <c r="I21" s="5">
        <f>_xlfn.XLOOKUP(TRIM(B21), Reference!A:A, Reference!B:B)</f>
        <v>2.5</v>
      </c>
    </row>
    <row r="22" spans="1:9" x14ac:dyDescent="0.25">
      <c r="A22" s="5" t="s">
        <v>36</v>
      </c>
      <c r="B22" s="5" t="s">
        <v>34</v>
      </c>
      <c r="C22" s="5">
        <v>151</v>
      </c>
      <c r="D22" s="5">
        <v>15.2</v>
      </c>
      <c r="E22" s="5">
        <v>35</v>
      </c>
      <c r="F22" s="6">
        <v>50.9</v>
      </c>
      <c r="G22" s="5">
        <v>42.6</v>
      </c>
      <c r="H22" s="8">
        <v>114.7</v>
      </c>
      <c r="I22" s="5">
        <f>_xlfn.XLOOKUP(TRIM(B22), Reference!A:A, Reference!B:B)</f>
        <v>2.5</v>
      </c>
    </row>
    <row r="23" spans="1:9" x14ac:dyDescent="0.25">
      <c r="A23" s="5" t="s">
        <v>37</v>
      </c>
      <c r="B23" s="5" t="s">
        <v>34</v>
      </c>
      <c r="C23" s="5">
        <v>153</v>
      </c>
      <c r="D23" s="5">
        <v>16.8</v>
      </c>
      <c r="E23" s="5">
        <v>35.5</v>
      </c>
      <c r="F23" s="6">
        <v>50.7</v>
      </c>
      <c r="G23" s="5">
        <v>43.6</v>
      </c>
      <c r="H23" s="8">
        <v>92.6</v>
      </c>
      <c r="I23" s="5">
        <f>_xlfn.XLOOKUP(TRIM(B23), Reference!A:A, Reference!B:B)</f>
        <v>2.5</v>
      </c>
    </row>
    <row r="24" spans="1:9" x14ac:dyDescent="0.25">
      <c r="A24" s="5" t="s">
        <v>38</v>
      </c>
      <c r="B24" s="5" t="s">
        <v>39</v>
      </c>
      <c r="C24" s="5">
        <v>10</v>
      </c>
      <c r="D24" s="5">
        <v>46.1</v>
      </c>
      <c r="E24" s="5">
        <v>68</v>
      </c>
      <c r="F24" s="6">
        <v>78.3</v>
      </c>
      <c r="G24" s="5">
        <v>99.9</v>
      </c>
      <c r="H24" s="8">
        <v>136.9</v>
      </c>
      <c r="I24" s="5">
        <f>_xlfn.XLOOKUP(TRIM(B24), Reference!A:A, Reference!B:B)</f>
        <v>7.5</v>
      </c>
    </row>
    <row r="25" spans="1:9" x14ac:dyDescent="0.25">
      <c r="A25" s="5" t="s">
        <v>40</v>
      </c>
      <c r="B25" s="5" t="s">
        <v>39</v>
      </c>
      <c r="C25" s="5">
        <v>15</v>
      </c>
      <c r="D25" s="5">
        <v>24.7</v>
      </c>
      <c r="E25" s="5">
        <v>55.8</v>
      </c>
      <c r="F25" s="6">
        <v>79.2</v>
      </c>
      <c r="G25" s="5">
        <v>93.1</v>
      </c>
      <c r="H25" s="8">
        <v>151.80000000000001</v>
      </c>
      <c r="I25" s="5">
        <f>_xlfn.XLOOKUP(TRIM(B25), Reference!A:A, Reference!B:B)</f>
        <v>7.5</v>
      </c>
    </row>
    <row r="26" spans="1:9" x14ac:dyDescent="0.25">
      <c r="A26" s="5" t="s">
        <v>41</v>
      </c>
      <c r="B26" s="5" t="s">
        <v>39</v>
      </c>
      <c r="C26" s="5">
        <v>18</v>
      </c>
      <c r="D26" s="5">
        <v>33.200000000000003</v>
      </c>
      <c r="E26" s="5">
        <v>58.5</v>
      </c>
      <c r="F26" s="6">
        <v>71.099999999999994</v>
      </c>
      <c r="G26" s="5">
        <v>95.6</v>
      </c>
      <c r="H26" s="8">
        <v>148.4</v>
      </c>
      <c r="I26" s="5">
        <f>_xlfn.XLOOKUP(TRIM(B26), Reference!A:A, Reference!B:B)</f>
        <v>7.5</v>
      </c>
    </row>
    <row r="27" spans="1:9" x14ac:dyDescent="0.25">
      <c r="A27" s="5" t="s">
        <v>42</v>
      </c>
      <c r="B27" s="5" t="s">
        <v>39</v>
      </c>
      <c r="C27" s="5">
        <v>21</v>
      </c>
      <c r="D27" s="5">
        <v>23.2</v>
      </c>
      <c r="E27" s="5">
        <v>53.2</v>
      </c>
      <c r="F27" s="6">
        <v>74.3</v>
      </c>
      <c r="G27" s="5">
        <v>103</v>
      </c>
      <c r="H27" s="8">
        <v>163.30000000000001</v>
      </c>
      <c r="I27" s="5">
        <f>_xlfn.XLOOKUP(TRIM(B27), Reference!A:A, Reference!B:B)</f>
        <v>7.5</v>
      </c>
    </row>
    <row r="28" spans="1:9" x14ac:dyDescent="0.25">
      <c r="A28" s="5" t="s">
        <v>43</v>
      </c>
      <c r="B28" s="5" t="s">
        <v>44</v>
      </c>
      <c r="C28" s="5">
        <v>106</v>
      </c>
      <c r="D28" s="5">
        <v>20</v>
      </c>
      <c r="E28" s="5">
        <v>44.8</v>
      </c>
      <c r="F28" s="6">
        <v>58.8</v>
      </c>
      <c r="G28" s="5">
        <v>70.8</v>
      </c>
      <c r="H28" s="8">
        <v>88</v>
      </c>
      <c r="I28" s="5">
        <f>_xlfn.XLOOKUP(TRIM(B28), Reference!A:A, Reference!B:B)</f>
        <v>4.5</v>
      </c>
    </row>
    <row r="29" spans="1:9" x14ac:dyDescent="0.25">
      <c r="A29" s="5" t="s">
        <v>45</v>
      </c>
      <c r="B29" s="5" t="s">
        <v>44</v>
      </c>
      <c r="C29" s="5">
        <v>130</v>
      </c>
      <c r="D29" s="5">
        <v>15.5</v>
      </c>
      <c r="E29" s="5">
        <v>38.5</v>
      </c>
      <c r="F29" s="6">
        <v>50</v>
      </c>
      <c r="G29" s="5">
        <v>66.599999999999994</v>
      </c>
      <c r="H29" s="8">
        <v>96</v>
      </c>
      <c r="I29" s="5">
        <f>_xlfn.XLOOKUP(TRIM(B29), Reference!A:A, Reference!B:B)</f>
        <v>4.5</v>
      </c>
    </row>
    <row r="30" spans="1:9" x14ac:dyDescent="0.25">
      <c r="A30" s="5" t="s">
        <v>46</v>
      </c>
      <c r="B30" s="5" t="s">
        <v>47</v>
      </c>
      <c r="C30" s="5">
        <v>24</v>
      </c>
      <c r="D30" s="5">
        <v>30.3</v>
      </c>
      <c r="E30" s="5">
        <v>55.8</v>
      </c>
      <c r="F30" s="6">
        <v>75.599999999999994</v>
      </c>
      <c r="G30" s="5">
        <v>85.2</v>
      </c>
      <c r="H30" s="8">
        <v>127.3</v>
      </c>
      <c r="I30" s="5">
        <f>_xlfn.XLOOKUP(TRIM(B30), Reference!A:A, Reference!B:B)</f>
        <v>8</v>
      </c>
    </row>
    <row r="31" spans="1:9" x14ac:dyDescent="0.25">
      <c r="A31" s="5" t="s">
        <v>48</v>
      </c>
      <c r="B31" s="5" t="s">
        <v>47</v>
      </c>
      <c r="C31" s="5">
        <v>31</v>
      </c>
      <c r="D31" s="5">
        <v>29.4</v>
      </c>
      <c r="E31" s="5">
        <v>54.3</v>
      </c>
      <c r="F31" s="6">
        <v>70.599999999999994</v>
      </c>
      <c r="G31" s="5">
        <v>82.2</v>
      </c>
      <c r="H31" s="8">
        <v>123.5</v>
      </c>
      <c r="I31" s="5">
        <f>_xlfn.XLOOKUP(TRIM(B31), Reference!A:A, Reference!B:B)</f>
        <v>8</v>
      </c>
    </row>
    <row r="32" spans="1:9" x14ac:dyDescent="0.25">
      <c r="A32" s="5" t="s">
        <v>49</v>
      </c>
      <c r="B32" s="5" t="s">
        <v>47</v>
      </c>
      <c r="C32" s="5">
        <v>78</v>
      </c>
      <c r="D32" s="5">
        <v>20.5</v>
      </c>
      <c r="E32" s="5">
        <v>47.1</v>
      </c>
      <c r="F32" s="6">
        <v>66.599999999999994</v>
      </c>
      <c r="G32" s="5">
        <v>81.3</v>
      </c>
      <c r="H32" s="8">
        <v>125.1</v>
      </c>
      <c r="I32" s="5">
        <f>_xlfn.XLOOKUP(TRIM(B32), Reference!A:A, Reference!B:B)</f>
        <v>8</v>
      </c>
    </row>
    <row r="33" spans="1:9" x14ac:dyDescent="0.25">
      <c r="A33" s="5" t="s">
        <v>50</v>
      </c>
      <c r="B33" s="5" t="s">
        <v>51</v>
      </c>
      <c r="C33" s="5">
        <v>20</v>
      </c>
      <c r="D33" s="5">
        <v>43.5</v>
      </c>
      <c r="E33" s="5">
        <v>62.9</v>
      </c>
      <c r="F33" s="6">
        <v>77.900000000000006</v>
      </c>
      <c r="G33" s="5">
        <v>75.2</v>
      </c>
      <c r="H33" s="8">
        <v>118</v>
      </c>
      <c r="I33" s="5">
        <f>_xlfn.XLOOKUP(TRIM(B33), Reference!A:A, Reference!B:B)</f>
        <v>7</v>
      </c>
    </row>
    <row r="34" spans="1:9" x14ac:dyDescent="0.25">
      <c r="A34" s="5" t="s">
        <v>52</v>
      </c>
      <c r="B34" s="5" t="s">
        <v>51</v>
      </c>
      <c r="C34" s="5">
        <v>28</v>
      </c>
      <c r="D34" s="5">
        <v>22.8</v>
      </c>
      <c r="E34" s="5">
        <v>51.5</v>
      </c>
      <c r="F34" s="6">
        <v>87.9</v>
      </c>
      <c r="G34" s="5">
        <v>68.8</v>
      </c>
      <c r="H34" s="8">
        <v>112.1</v>
      </c>
      <c r="I34" s="5">
        <f>_xlfn.XLOOKUP(TRIM(B34), Reference!A:A, Reference!B:B)</f>
        <v>7</v>
      </c>
    </row>
    <row r="35" spans="1:9" x14ac:dyDescent="0.25">
      <c r="A35" s="5" t="s">
        <v>53</v>
      </c>
      <c r="B35" s="5" t="s">
        <v>51</v>
      </c>
      <c r="C35" s="5">
        <v>36</v>
      </c>
      <c r="D35" s="5">
        <v>21.4</v>
      </c>
      <c r="E35" s="5">
        <v>50.5</v>
      </c>
      <c r="F35" s="6">
        <v>89.3</v>
      </c>
      <c r="G35" s="5">
        <v>70.599999999999994</v>
      </c>
      <c r="H35" s="8">
        <v>100.4</v>
      </c>
      <c r="I35" s="5">
        <f>_xlfn.XLOOKUP(TRIM(B35), Reference!A:A, Reference!B:B)</f>
        <v>7</v>
      </c>
    </row>
    <row r="36" spans="1:9" x14ac:dyDescent="0.25">
      <c r="A36" s="5" t="s">
        <v>54</v>
      </c>
      <c r="B36" s="5" t="s">
        <v>51</v>
      </c>
      <c r="C36" s="5">
        <v>39</v>
      </c>
      <c r="D36" s="5">
        <v>30.2</v>
      </c>
      <c r="E36" s="5">
        <v>54.1</v>
      </c>
      <c r="F36" s="6">
        <v>78.400000000000006</v>
      </c>
      <c r="G36" s="5">
        <v>75.7</v>
      </c>
      <c r="H36" s="8">
        <v>96.5</v>
      </c>
      <c r="I36" s="5">
        <f>_xlfn.XLOOKUP(TRIM(B36), Reference!A:A, Reference!B:B)</f>
        <v>7</v>
      </c>
    </row>
    <row r="37" spans="1:9" x14ac:dyDescent="0.25">
      <c r="A37" s="5" t="s">
        <v>55</v>
      </c>
      <c r="B37" s="5" t="s">
        <v>51</v>
      </c>
      <c r="C37" s="5">
        <v>45</v>
      </c>
      <c r="D37" s="5">
        <v>22.8</v>
      </c>
      <c r="E37" s="5">
        <v>50.2</v>
      </c>
      <c r="F37" s="6">
        <v>79.400000000000006</v>
      </c>
      <c r="G37" s="5">
        <v>66.2</v>
      </c>
      <c r="H37" s="8">
        <v>126.1</v>
      </c>
      <c r="I37" s="5">
        <f>_xlfn.XLOOKUP(TRIM(B37), Reference!A:A, Reference!B:B)</f>
        <v>7</v>
      </c>
    </row>
    <row r="38" spans="1:9" x14ac:dyDescent="0.25">
      <c r="A38" s="5" t="s">
        <v>56</v>
      </c>
      <c r="B38" s="5" t="s">
        <v>51</v>
      </c>
      <c r="C38" s="5">
        <v>62</v>
      </c>
      <c r="D38" s="5">
        <v>23.2</v>
      </c>
      <c r="E38" s="5">
        <v>49.2</v>
      </c>
      <c r="F38" s="6">
        <v>75.400000000000006</v>
      </c>
      <c r="G38" s="5">
        <v>71.3</v>
      </c>
      <c r="H38" s="8">
        <v>126.2</v>
      </c>
      <c r="I38" s="5">
        <f>_xlfn.XLOOKUP(TRIM(B38), Reference!A:A, Reference!B:B)</f>
        <v>7</v>
      </c>
    </row>
    <row r="39" spans="1:9" x14ac:dyDescent="0.25">
      <c r="A39" s="5" t="s">
        <v>57</v>
      </c>
      <c r="B39" s="5" t="s">
        <v>51</v>
      </c>
      <c r="C39" s="5">
        <v>71</v>
      </c>
      <c r="D39" s="5">
        <v>21.1</v>
      </c>
      <c r="E39" s="5">
        <v>47.7</v>
      </c>
      <c r="F39" s="6">
        <v>76.400000000000006</v>
      </c>
      <c r="G39" s="5">
        <v>67.5</v>
      </c>
      <c r="H39" s="8">
        <v>119</v>
      </c>
      <c r="I39" s="5">
        <f>_xlfn.XLOOKUP(TRIM(B39), Reference!A:A, Reference!B:B)</f>
        <v>7</v>
      </c>
    </row>
    <row r="40" spans="1:9" x14ac:dyDescent="0.25">
      <c r="A40" s="5" t="s">
        <v>58</v>
      </c>
      <c r="B40" s="5" t="s">
        <v>51</v>
      </c>
      <c r="C40" s="5">
        <v>96</v>
      </c>
      <c r="D40" s="5">
        <v>22.4</v>
      </c>
      <c r="E40" s="5">
        <v>46.8</v>
      </c>
      <c r="F40" s="6">
        <v>73.900000000000006</v>
      </c>
      <c r="G40" s="5">
        <v>69.599999999999994</v>
      </c>
      <c r="H40" s="8">
        <v>133.9</v>
      </c>
      <c r="I40" s="5">
        <f>_xlfn.XLOOKUP(TRIM(B40), Reference!A:A, Reference!B:B)</f>
        <v>7</v>
      </c>
    </row>
    <row r="41" spans="1:9" x14ac:dyDescent="0.25">
      <c r="A41" s="5" t="s">
        <v>59</v>
      </c>
      <c r="B41" s="5" t="s">
        <v>51</v>
      </c>
      <c r="C41" s="5">
        <v>101</v>
      </c>
      <c r="D41" s="5">
        <v>19.7</v>
      </c>
      <c r="E41" s="5">
        <v>45.2</v>
      </c>
      <c r="F41" s="6">
        <v>70.099999999999994</v>
      </c>
      <c r="G41" s="5">
        <v>62.4</v>
      </c>
      <c r="H41" s="8">
        <v>127</v>
      </c>
      <c r="I41" s="5">
        <f>_xlfn.XLOOKUP(TRIM(B41), Reference!A:A, Reference!B:B)</f>
        <v>7</v>
      </c>
    </row>
    <row r="42" spans="1:9" x14ac:dyDescent="0.25">
      <c r="A42" s="5" t="s">
        <v>60</v>
      </c>
      <c r="B42" s="5" t="s">
        <v>51</v>
      </c>
      <c r="C42" s="5">
        <v>102</v>
      </c>
      <c r="D42" s="5">
        <v>21.9</v>
      </c>
      <c r="E42" s="5">
        <v>46.1</v>
      </c>
      <c r="F42" s="6">
        <v>75.2</v>
      </c>
      <c r="G42" s="5">
        <v>61.5</v>
      </c>
      <c r="H42" s="8">
        <v>118.7</v>
      </c>
      <c r="I42" s="5">
        <f>_xlfn.XLOOKUP(TRIM(B42), Reference!A:A, Reference!B:B)</f>
        <v>7</v>
      </c>
    </row>
    <row r="43" spans="1:9" x14ac:dyDescent="0.25">
      <c r="A43" s="5" t="s">
        <v>61</v>
      </c>
      <c r="B43" s="5" t="s">
        <v>62</v>
      </c>
      <c r="C43" s="5">
        <v>26</v>
      </c>
      <c r="D43" s="5">
        <v>45.4</v>
      </c>
      <c r="E43" s="5">
        <v>62.4</v>
      </c>
      <c r="F43" s="6">
        <v>63.5</v>
      </c>
      <c r="G43" s="5">
        <v>81.900000000000006</v>
      </c>
      <c r="H43" s="8">
        <v>142.69999999999999</v>
      </c>
      <c r="I43" s="5">
        <f>_xlfn.XLOOKUP(TRIM(B43), Reference!A:A, Reference!B:B)</f>
        <v>4.5</v>
      </c>
    </row>
    <row r="44" spans="1:9" x14ac:dyDescent="0.25">
      <c r="A44" s="5" t="s">
        <v>63</v>
      </c>
      <c r="B44" s="5" t="s">
        <v>62</v>
      </c>
      <c r="C44" s="5">
        <v>33</v>
      </c>
      <c r="D44" s="5">
        <v>36.1</v>
      </c>
      <c r="E44" s="5">
        <v>57.1</v>
      </c>
      <c r="F44" s="6">
        <v>66.8</v>
      </c>
      <c r="G44" s="5">
        <v>75.7</v>
      </c>
      <c r="H44" s="8">
        <v>156.6</v>
      </c>
      <c r="I44" s="5">
        <f>_xlfn.XLOOKUP(TRIM(B44), Reference!A:A, Reference!B:B)</f>
        <v>4.5</v>
      </c>
    </row>
    <row r="45" spans="1:9" x14ac:dyDescent="0.25">
      <c r="A45" s="5" t="s">
        <v>64</v>
      </c>
      <c r="B45" s="5" t="s">
        <v>62</v>
      </c>
      <c r="C45" s="5">
        <v>37</v>
      </c>
      <c r="D45" s="5">
        <v>32.5</v>
      </c>
      <c r="E45" s="5">
        <v>55.4</v>
      </c>
      <c r="F45" s="6">
        <v>65.5</v>
      </c>
      <c r="G45" s="5">
        <v>75.3</v>
      </c>
      <c r="H45" s="8">
        <v>143.6</v>
      </c>
      <c r="I45" s="5">
        <f>_xlfn.XLOOKUP(TRIM(B45), Reference!A:A, Reference!B:B)</f>
        <v>4.5</v>
      </c>
    </row>
    <row r="46" spans="1:9" x14ac:dyDescent="0.25">
      <c r="A46" s="5" t="s">
        <v>65</v>
      </c>
      <c r="B46" s="5" t="s">
        <v>62</v>
      </c>
      <c r="C46" s="5">
        <v>40</v>
      </c>
      <c r="D46" s="5">
        <v>34.4</v>
      </c>
      <c r="E46" s="5">
        <v>56</v>
      </c>
      <c r="F46" s="6">
        <v>68.5</v>
      </c>
      <c r="G46" s="5">
        <v>68.900000000000006</v>
      </c>
      <c r="H46" s="8">
        <v>114.9</v>
      </c>
      <c r="I46" s="5">
        <f>_xlfn.XLOOKUP(TRIM(B46), Reference!A:A, Reference!B:B)</f>
        <v>4.5</v>
      </c>
    </row>
    <row r="47" spans="1:9" x14ac:dyDescent="0.25">
      <c r="A47" s="5" t="s">
        <v>66</v>
      </c>
      <c r="B47" s="5" t="s">
        <v>62</v>
      </c>
      <c r="C47" s="5">
        <v>48</v>
      </c>
      <c r="D47" s="5">
        <v>32.4</v>
      </c>
      <c r="E47" s="5">
        <v>54.2</v>
      </c>
      <c r="F47" s="6">
        <v>63.8</v>
      </c>
      <c r="G47" s="5">
        <v>75.099999999999994</v>
      </c>
      <c r="H47" s="8">
        <v>142.30000000000001</v>
      </c>
      <c r="I47" s="5">
        <f>_xlfn.XLOOKUP(TRIM(B47), Reference!A:A, Reference!B:B)</f>
        <v>4.5</v>
      </c>
    </row>
    <row r="48" spans="1:9" x14ac:dyDescent="0.25">
      <c r="A48" s="5" t="s">
        <v>67</v>
      </c>
      <c r="B48" s="5" t="s">
        <v>62</v>
      </c>
      <c r="C48" s="5">
        <v>49</v>
      </c>
      <c r="D48" s="5">
        <v>26.3</v>
      </c>
      <c r="E48" s="5">
        <v>51.5</v>
      </c>
      <c r="F48" s="6">
        <v>65.900000000000006</v>
      </c>
      <c r="G48" s="5">
        <v>76.900000000000006</v>
      </c>
      <c r="H48" s="8">
        <v>131.19999999999999</v>
      </c>
      <c r="I48" s="5">
        <f>_xlfn.XLOOKUP(TRIM(B48), Reference!A:A, Reference!B:B)</f>
        <v>4.5</v>
      </c>
    </row>
    <row r="49" spans="1:9" x14ac:dyDescent="0.25">
      <c r="A49" s="5" t="s">
        <v>68</v>
      </c>
      <c r="B49" s="5" t="s">
        <v>62</v>
      </c>
      <c r="C49" s="5">
        <v>52</v>
      </c>
      <c r="D49" s="5">
        <v>28.8</v>
      </c>
      <c r="E49" s="5">
        <v>52.5</v>
      </c>
      <c r="F49" s="6">
        <v>68</v>
      </c>
      <c r="G49" s="5">
        <v>71.400000000000006</v>
      </c>
      <c r="H49" s="8">
        <v>137.1</v>
      </c>
      <c r="I49" s="5">
        <f>_xlfn.XLOOKUP(TRIM(B49), Reference!A:A, Reference!B:B)</f>
        <v>4.5</v>
      </c>
    </row>
    <row r="50" spans="1:9" x14ac:dyDescent="0.25">
      <c r="A50" s="5" t="s">
        <v>69</v>
      </c>
      <c r="B50" s="5" t="s">
        <v>62</v>
      </c>
      <c r="C50" s="5">
        <v>53</v>
      </c>
      <c r="D50" s="5">
        <v>30.1</v>
      </c>
      <c r="E50" s="5">
        <v>53</v>
      </c>
      <c r="F50" s="6">
        <v>66.599999999999994</v>
      </c>
      <c r="G50" s="5">
        <v>72.400000000000006</v>
      </c>
      <c r="H50" s="8">
        <v>144.19999999999999</v>
      </c>
      <c r="I50" s="5">
        <f>_xlfn.XLOOKUP(TRIM(B50), Reference!A:A, Reference!B:B)</f>
        <v>4.5</v>
      </c>
    </row>
    <row r="51" spans="1:9" x14ac:dyDescent="0.25">
      <c r="A51" s="5" t="s">
        <v>70</v>
      </c>
      <c r="B51" s="5" t="s">
        <v>62</v>
      </c>
      <c r="C51" s="5">
        <v>54</v>
      </c>
      <c r="D51" s="5">
        <v>29.1</v>
      </c>
      <c r="E51" s="5">
        <v>52.5</v>
      </c>
      <c r="F51" s="6">
        <v>66.5</v>
      </c>
      <c r="G51" s="5">
        <v>71.7</v>
      </c>
      <c r="H51" s="8">
        <v>130.9</v>
      </c>
      <c r="I51" s="5">
        <f>_xlfn.XLOOKUP(TRIM(B51), Reference!A:A, Reference!B:B)</f>
        <v>4.5</v>
      </c>
    </row>
    <row r="52" spans="1:9" x14ac:dyDescent="0.25">
      <c r="A52" s="5" t="s">
        <v>71</v>
      </c>
      <c r="B52" s="5" t="s">
        <v>62</v>
      </c>
      <c r="C52" s="5">
        <v>59</v>
      </c>
      <c r="D52" s="5">
        <v>25.1</v>
      </c>
      <c r="E52" s="5">
        <v>50.4</v>
      </c>
      <c r="F52" s="6">
        <v>66.599999999999994</v>
      </c>
      <c r="G52" s="5">
        <v>72.3</v>
      </c>
      <c r="H52" s="8">
        <v>137</v>
      </c>
      <c r="I52" s="5">
        <f>_xlfn.XLOOKUP(TRIM(B52), Reference!A:A, Reference!B:B)</f>
        <v>4.5</v>
      </c>
    </row>
    <row r="53" spans="1:9" x14ac:dyDescent="0.25">
      <c r="A53" s="5" t="s">
        <v>72</v>
      </c>
      <c r="B53" s="5" t="s">
        <v>62</v>
      </c>
      <c r="C53" s="5">
        <v>60</v>
      </c>
      <c r="D53" s="5">
        <v>18.100000000000001</v>
      </c>
      <c r="E53" s="5">
        <v>47.3</v>
      </c>
      <c r="F53" s="6">
        <v>66.8</v>
      </c>
      <c r="G53" s="5">
        <v>69.3</v>
      </c>
      <c r="H53" s="8">
        <v>141</v>
      </c>
      <c r="I53" s="5">
        <f>_xlfn.XLOOKUP(TRIM(B53), Reference!A:A, Reference!B:B)</f>
        <v>4.5</v>
      </c>
    </row>
    <row r="54" spans="1:9" x14ac:dyDescent="0.25">
      <c r="A54" s="5" t="s">
        <v>73</v>
      </c>
      <c r="B54" s="5" t="s">
        <v>62</v>
      </c>
      <c r="C54" s="5">
        <v>63</v>
      </c>
      <c r="D54" s="5">
        <v>19.899999999999999</v>
      </c>
      <c r="E54" s="5">
        <v>47.7</v>
      </c>
      <c r="F54" s="6">
        <v>67.2</v>
      </c>
      <c r="G54" s="5">
        <v>65.599999999999994</v>
      </c>
      <c r="H54" s="8">
        <v>148.30000000000001</v>
      </c>
      <c r="I54" s="5">
        <f>_xlfn.XLOOKUP(TRIM(B54), Reference!A:A, Reference!B:B)</f>
        <v>4.5</v>
      </c>
    </row>
    <row r="55" spans="1:9" x14ac:dyDescent="0.25">
      <c r="A55" s="5" t="s">
        <v>74</v>
      </c>
      <c r="B55" s="5" t="s">
        <v>62</v>
      </c>
      <c r="C55" s="5">
        <v>65</v>
      </c>
      <c r="D55" s="5">
        <v>36.200000000000003</v>
      </c>
      <c r="E55" s="5">
        <v>54.9</v>
      </c>
      <c r="F55" s="6">
        <v>63</v>
      </c>
      <c r="G55" s="5">
        <v>68.099999999999994</v>
      </c>
      <c r="H55" s="8">
        <v>126.1</v>
      </c>
      <c r="I55" s="5">
        <f>_xlfn.XLOOKUP(TRIM(B55), Reference!A:A, Reference!B:B)</f>
        <v>4.5</v>
      </c>
    </row>
    <row r="56" spans="1:9" x14ac:dyDescent="0.25">
      <c r="A56" s="5" t="s">
        <v>75</v>
      </c>
      <c r="B56" s="5" t="s">
        <v>62</v>
      </c>
      <c r="C56" s="5">
        <v>67</v>
      </c>
      <c r="D56" s="5">
        <v>20.2</v>
      </c>
      <c r="E56" s="5">
        <v>47.6</v>
      </c>
      <c r="F56" s="6">
        <v>70</v>
      </c>
      <c r="G56" s="5">
        <v>68.900000000000006</v>
      </c>
      <c r="H56" s="8">
        <v>131.19999999999999</v>
      </c>
      <c r="I56" s="5">
        <f>_xlfn.XLOOKUP(TRIM(B56), Reference!A:A, Reference!B:B)</f>
        <v>4.5</v>
      </c>
    </row>
    <row r="57" spans="1:9" x14ac:dyDescent="0.25">
      <c r="A57" s="5" t="s">
        <v>76</v>
      </c>
      <c r="B57" s="5" t="s">
        <v>62</v>
      </c>
      <c r="C57" s="5">
        <v>69</v>
      </c>
      <c r="D57" s="5">
        <v>28.5</v>
      </c>
      <c r="E57" s="5">
        <v>51.1</v>
      </c>
      <c r="F57" s="6">
        <v>69.400000000000006</v>
      </c>
      <c r="G57" s="5">
        <v>63.7</v>
      </c>
      <c r="H57" s="8">
        <v>151.80000000000001</v>
      </c>
      <c r="I57" s="5">
        <f>_xlfn.XLOOKUP(TRIM(B57), Reference!A:A, Reference!B:B)</f>
        <v>4.5</v>
      </c>
    </row>
    <row r="58" spans="1:9" x14ac:dyDescent="0.25">
      <c r="A58" s="5" t="s">
        <v>77</v>
      </c>
      <c r="B58" s="5" t="s">
        <v>62</v>
      </c>
      <c r="C58" s="5">
        <v>72</v>
      </c>
      <c r="D58" s="5">
        <v>23.5</v>
      </c>
      <c r="E58" s="5">
        <v>48.7</v>
      </c>
      <c r="F58" s="6">
        <v>64.400000000000006</v>
      </c>
      <c r="G58" s="5">
        <v>70.400000000000006</v>
      </c>
      <c r="H58" s="8">
        <v>147.5</v>
      </c>
      <c r="I58" s="5">
        <f>_xlfn.XLOOKUP(TRIM(B58), Reference!A:A, Reference!B:B)</f>
        <v>4.5</v>
      </c>
    </row>
    <row r="59" spans="1:9" x14ac:dyDescent="0.25">
      <c r="A59" s="5" t="s">
        <v>78</v>
      </c>
      <c r="B59" s="5" t="s">
        <v>62</v>
      </c>
      <c r="C59" s="5">
        <v>73</v>
      </c>
      <c r="D59" s="5">
        <v>19.8</v>
      </c>
      <c r="E59" s="5">
        <v>46.9</v>
      </c>
      <c r="F59" s="6">
        <v>65.3</v>
      </c>
      <c r="G59" s="5">
        <v>71.099999999999994</v>
      </c>
      <c r="H59" s="8">
        <v>135.1</v>
      </c>
      <c r="I59" s="5">
        <f>_xlfn.XLOOKUP(TRIM(B59), Reference!A:A, Reference!B:B)</f>
        <v>4.5</v>
      </c>
    </row>
    <row r="60" spans="1:9" x14ac:dyDescent="0.25">
      <c r="A60" s="5" t="s">
        <v>79</v>
      </c>
      <c r="B60" s="5" t="s">
        <v>62</v>
      </c>
      <c r="C60" s="5">
        <v>74</v>
      </c>
      <c r="D60" s="5">
        <v>27.3</v>
      </c>
      <c r="E60" s="5">
        <v>50.2</v>
      </c>
      <c r="F60" s="6">
        <v>67.8</v>
      </c>
      <c r="G60" s="5">
        <v>65.3</v>
      </c>
      <c r="H60" s="8">
        <v>127.3</v>
      </c>
      <c r="I60" s="5">
        <f>_xlfn.XLOOKUP(TRIM(B60), Reference!A:A, Reference!B:B)</f>
        <v>4.5</v>
      </c>
    </row>
    <row r="61" spans="1:9" x14ac:dyDescent="0.25">
      <c r="A61" s="5" t="s">
        <v>80</v>
      </c>
      <c r="B61" s="5" t="s">
        <v>62</v>
      </c>
      <c r="C61" s="5">
        <v>82</v>
      </c>
      <c r="D61" s="5">
        <v>22.8</v>
      </c>
      <c r="E61" s="5">
        <v>48</v>
      </c>
      <c r="F61" s="6">
        <v>67.5</v>
      </c>
      <c r="G61" s="5">
        <v>60.2</v>
      </c>
      <c r="H61" s="8">
        <v>179.8</v>
      </c>
      <c r="I61" s="5">
        <f>_xlfn.XLOOKUP(TRIM(B61), Reference!A:A, Reference!B:B)</f>
        <v>4.5</v>
      </c>
    </row>
    <row r="62" spans="1:9" x14ac:dyDescent="0.25">
      <c r="A62" s="5" t="s">
        <v>81</v>
      </c>
      <c r="B62" s="5" t="s">
        <v>62</v>
      </c>
      <c r="C62" s="5">
        <v>83</v>
      </c>
      <c r="D62" s="5">
        <v>22.3</v>
      </c>
      <c r="E62" s="5">
        <v>47.8</v>
      </c>
      <c r="F62" s="6">
        <v>67.3</v>
      </c>
      <c r="G62" s="5">
        <v>66.5</v>
      </c>
      <c r="H62" s="8">
        <v>139.30000000000001</v>
      </c>
      <c r="I62" s="5">
        <f>_xlfn.XLOOKUP(TRIM(B62), Reference!A:A, Reference!B:B)</f>
        <v>4.5</v>
      </c>
    </row>
    <row r="63" spans="1:9" x14ac:dyDescent="0.25">
      <c r="A63" s="5" t="s">
        <v>82</v>
      </c>
      <c r="B63" s="5" t="s">
        <v>62</v>
      </c>
      <c r="C63" s="5">
        <v>84</v>
      </c>
      <c r="D63" s="5">
        <v>22.6</v>
      </c>
      <c r="E63" s="5">
        <v>47.7</v>
      </c>
      <c r="F63" s="6">
        <v>64.8</v>
      </c>
      <c r="G63" s="5">
        <v>66.2</v>
      </c>
      <c r="H63" s="8">
        <v>127.1</v>
      </c>
      <c r="I63" s="5">
        <f>_xlfn.XLOOKUP(TRIM(B63), Reference!A:A, Reference!B:B)</f>
        <v>4.5</v>
      </c>
    </row>
    <row r="64" spans="1:9" x14ac:dyDescent="0.25">
      <c r="A64" s="5" t="s">
        <v>83</v>
      </c>
      <c r="B64" s="5" t="s">
        <v>62</v>
      </c>
      <c r="C64" s="5">
        <v>89</v>
      </c>
      <c r="D64" s="5">
        <v>21.1</v>
      </c>
      <c r="E64" s="5">
        <v>46.7</v>
      </c>
      <c r="F64" s="6">
        <v>66.3</v>
      </c>
      <c r="G64" s="5">
        <v>62.6</v>
      </c>
      <c r="H64" s="8">
        <v>130.1</v>
      </c>
      <c r="I64" s="5">
        <f>_xlfn.XLOOKUP(TRIM(B64), Reference!A:A, Reference!B:B)</f>
        <v>4.5</v>
      </c>
    </row>
    <row r="65" spans="1:9" x14ac:dyDescent="0.25">
      <c r="A65" s="5" t="s">
        <v>84</v>
      </c>
      <c r="B65" s="5" t="s">
        <v>62</v>
      </c>
      <c r="C65" s="5">
        <v>93</v>
      </c>
      <c r="D65" s="5">
        <v>23.5</v>
      </c>
      <c r="E65" s="5">
        <v>47.5</v>
      </c>
      <c r="F65" s="6">
        <v>68.8</v>
      </c>
      <c r="G65" s="5">
        <v>61</v>
      </c>
      <c r="H65" s="8">
        <v>193.7</v>
      </c>
      <c r="I65" s="5">
        <f>_xlfn.XLOOKUP(TRIM(B65), Reference!A:A, Reference!B:B)</f>
        <v>4.5</v>
      </c>
    </row>
    <row r="66" spans="1:9" x14ac:dyDescent="0.25">
      <c r="A66" s="5" t="s">
        <v>85</v>
      </c>
      <c r="B66" s="5" t="s">
        <v>62</v>
      </c>
      <c r="C66" s="5">
        <v>94</v>
      </c>
      <c r="D66" s="5">
        <v>20.2</v>
      </c>
      <c r="E66" s="5">
        <v>46</v>
      </c>
      <c r="F66" s="6">
        <v>64.400000000000006</v>
      </c>
      <c r="G66" s="5">
        <v>61.6</v>
      </c>
      <c r="H66" s="8">
        <v>140.19999999999999</v>
      </c>
      <c r="I66" s="5">
        <f>_xlfn.XLOOKUP(TRIM(B66), Reference!A:A, Reference!B:B)</f>
        <v>4.5</v>
      </c>
    </row>
    <row r="67" spans="1:9" x14ac:dyDescent="0.25">
      <c r="A67" s="5" t="s">
        <v>86</v>
      </c>
      <c r="B67" s="5" t="s">
        <v>62</v>
      </c>
      <c r="C67" s="5">
        <v>122</v>
      </c>
      <c r="D67" s="5">
        <v>15.8</v>
      </c>
      <c r="E67" s="5">
        <v>39.9</v>
      </c>
      <c r="F67" s="6">
        <v>56.1</v>
      </c>
      <c r="G67" s="5">
        <v>49.7</v>
      </c>
      <c r="H67" s="8">
        <v>80.7</v>
      </c>
      <c r="I67" s="5">
        <f>_xlfn.XLOOKUP(TRIM(B67), Reference!A:A, Reference!B:B)</f>
        <v>4.5</v>
      </c>
    </row>
    <row r="68" spans="1:9" x14ac:dyDescent="0.25">
      <c r="A68" s="5" t="s">
        <v>87</v>
      </c>
      <c r="B68" s="5" t="s">
        <v>88</v>
      </c>
      <c r="C68" s="5">
        <v>128</v>
      </c>
      <c r="D68" s="5">
        <v>18.2</v>
      </c>
      <c r="E68" s="5">
        <v>40.200000000000003</v>
      </c>
      <c r="F68" s="6">
        <v>55.1</v>
      </c>
      <c r="G68" s="5">
        <v>62.9</v>
      </c>
      <c r="H68" s="8">
        <v>66.099999999999994</v>
      </c>
      <c r="I68" s="5">
        <f>_xlfn.XLOOKUP(TRIM(B68), Reference!A:A, Reference!B:B)</f>
        <v>4.5</v>
      </c>
    </row>
    <row r="69" spans="1:9" x14ac:dyDescent="0.25">
      <c r="A69" s="5" t="s">
        <v>89</v>
      </c>
      <c r="B69" s="5" t="s">
        <v>88</v>
      </c>
      <c r="C69" s="5">
        <v>132</v>
      </c>
      <c r="D69" s="5">
        <v>16.600000000000001</v>
      </c>
      <c r="E69" s="5">
        <v>38.1</v>
      </c>
      <c r="F69" s="6">
        <v>53.9</v>
      </c>
      <c r="G69" s="5">
        <v>53.3</v>
      </c>
      <c r="H69" s="8">
        <v>62.2</v>
      </c>
      <c r="I69" s="5">
        <f>_xlfn.XLOOKUP(TRIM(B69), Reference!A:A, Reference!B:B)</f>
        <v>4.5</v>
      </c>
    </row>
    <row r="70" spans="1:9" x14ac:dyDescent="0.25">
      <c r="A70" s="5" t="s">
        <v>90</v>
      </c>
      <c r="B70" s="5" t="s">
        <v>88</v>
      </c>
      <c r="C70" s="5">
        <v>141</v>
      </c>
      <c r="D70" s="5">
        <v>14.2</v>
      </c>
      <c r="E70" s="5">
        <v>35.9</v>
      </c>
      <c r="F70" s="6">
        <v>50.3</v>
      </c>
      <c r="G70" s="5">
        <v>61.1</v>
      </c>
      <c r="H70" s="8">
        <v>62.7</v>
      </c>
      <c r="I70" s="5">
        <f>_xlfn.XLOOKUP(TRIM(B70), Reference!A:A, Reference!B:B)</f>
        <v>4.5</v>
      </c>
    </row>
    <row r="71" spans="1:9" x14ac:dyDescent="0.25">
      <c r="A71" s="5" t="s">
        <v>91</v>
      </c>
      <c r="B71" s="5" t="s">
        <v>92</v>
      </c>
      <c r="C71" s="5">
        <v>149</v>
      </c>
      <c r="D71" s="5">
        <v>20.3</v>
      </c>
      <c r="E71" s="5">
        <v>37.299999999999997</v>
      </c>
      <c r="F71" s="6">
        <v>47.8</v>
      </c>
      <c r="G71" s="5">
        <v>50.5</v>
      </c>
      <c r="H71" s="8">
        <v>84.9</v>
      </c>
      <c r="I71" s="5">
        <f>_xlfn.XLOOKUP(TRIM(B71), Reference!A:A, Reference!B:B)</f>
        <v>2.5</v>
      </c>
    </row>
    <row r="72" spans="1:9" x14ac:dyDescent="0.25">
      <c r="A72" s="5" t="s">
        <v>93</v>
      </c>
      <c r="B72" s="5" t="s">
        <v>92</v>
      </c>
      <c r="C72" s="5">
        <v>162</v>
      </c>
      <c r="D72" s="5">
        <v>13.4</v>
      </c>
      <c r="E72" s="5">
        <v>32.700000000000003</v>
      </c>
      <c r="F72" s="6">
        <v>48.7</v>
      </c>
      <c r="G72" s="5">
        <v>44.7</v>
      </c>
      <c r="H72" s="8">
        <v>57.4</v>
      </c>
      <c r="I72" s="5">
        <f>_xlfn.XLOOKUP(TRIM(B72), Reference!A:A, Reference!B:B)</f>
        <v>2.5</v>
      </c>
    </row>
    <row r="73" spans="1:9" x14ac:dyDescent="0.25">
      <c r="A73" s="5" t="s">
        <v>94</v>
      </c>
      <c r="B73" s="5" t="s">
        <v>92</v>
      </c>
      <c r="C73" s="5">
        <v>171</v>
      </c>
      <c r="D73" s="5">
        <v>15.5</v>
      </c>
      <c r="E73" s="5">
        <v>32.200000000000003</v>
      </c>
      <c r="F73" s="6">
        <v>45.5</v>
      </c>
      <c r="G73" s="5">
        <v>44.3</v>
      </c>
      <c r="H73" s="8">
        <v>71.099999999999994</v>
      </c>
      <c r="I73" s="5">
        <f>_xlfn.XLOOKUP(TRIM(B73), Reference!A:A, Reference!B:B)</f>
        <v>2.5</v>
      </c>
    </row>
    <row r="74" spans="1:9" x14ac:dyDescent="0.25">
      <c r="A74" s="5" t="s">
        <v>95</v>
      </c>
      <c r="B74" s="5" t="s">
        <v>96</v>
      </c>
      <c r="C74" s="5">
        <v>7</v>
      </c>
      <c r="D74" s="5">
        <v>50.1</v>
      </c>
      <c r="E74" s="5">
        <v>77.099999999999994</v>
      </c>
      <c r="F74" s="6">
        <v>105.2</v>
      </c>
      <c r="G74" s="5">
        <v>109.3</v>
      </c>
      <c r="H74" s="8">
        <v>109</v>
      </c>
      <c r="I74" s="5">
        <f>_xlfn.XLOOKUP(TRIM(B74), Reference!A:A, Reference!B:B)</f>
        <v>9.5</v>
      </c>
    </row>
    <row r="75" spans="1:9" x14ac:dyDescent="0.25">
      <c r="A75" s="5" t="s">
        <v>97</v>
      </c>
      <c r="B75" s="5" t="s">
        <v>98</v>
      </c>
      <c r="C75" s="5">
        <v>23</v>
      </c>
      <c r="D75" s="5">
        <v>59.7</v>
      </c>
      <c r="E75" s="5">
        <v>69.099999999999994</v>
      </c>
      <c r="F75" s="6">
        <v>71.7</v>
      </c>
      <c r="G75" s="5">
        <v>89.2</v>
      </c>
      <c r="H75" s="8">
        <v>114.6</v>
      </c>
      <c r="I75" s="5">
        <f>_xlfn.XLOOKUP(TRIM(B75), Reference!A:A, Reference!B:B)</f>
        <v>6.5</v>
      </c>
    </row>
    <row r="76" spans="1:9" x14ac:dyDescent="0.25">
      <c r="A76" s="5" t="s">
        <v>99</v>
      </c>
      <c r="B76" s="5" t="s">
        <v>98</v>
      </c>
      <c r="C76" s="5">
        <v>46</v>
      </c>
      <c r="D76" s="5">
        <v>45.3</v>
      </c>
      <c r="E76" s="5">
        <v>60.2</v>
      </c>
      <c r="F76" s="6">
        <v>74.5</v>
      </c>
      <c r="G76" s="5">
        <v>77.400000000000006</v>
      </c>
      <c r="H76" s="8">
        <v>116.5</v>
      </c>
      <c r="I76" s="5">
        <f>_xlfn.XLOOKUP(TRIM(B76), Reference!A:A, Reference!B:B)</f>
        <v>6.5</v>
      </c>
    </row>
    <row r="77" spans="1:9" x14ac:dyDescent="0.25">
      <c r="A77" s="5" t="s">
        <v>100</v>
      </c>
      <c r="B77" s="5" t="s">
        <v>98</v>
      </c>
      <c r="C77" s="5">
        <v>47</v>
      </c>
      <c r="D77" s="5">
        <v>51.9</v>
      </c>
      <c r="E77" s="5">
        <v>63</v>
      </c>
      <c r="F77" s="6">
        <v>71.2</v>
      </c>
      <c r="G77" s="5">
        <v>79.7</v>
      </c>
      <c r="H77" s="8">
        <v>93.2</v>
      </c>
      <c r="I77" s="5">
        <f>_xlfn.XLOOKUP(TRIM(B77), Reference!A:A, Reference!B:B)</f>
        <v>6.5</v>
      </c>
    </row>
    <row r="78" spans="1:9" x14ac:dyDescent="0.25">
      <c r="A78" s="5" t="s">
        <v>101</v>
      </c>
      <c r="B78" s="5" t="s">
        <v>98</v>
      </c>
      <c r="C78" s="5">
        <v>87</v>
      </c>
      <c r="D78" s="5">
        <v>41.5</v>
      </c>
      <c r="E78" s="5">
        <v>55.9</v>
      </c>
      <c r="F78" s="6">
        <v>72</v>
      </c>
      <c r="G78" s="5">
        <v>70.400000000000006</v>
      </c>
      <c r="H78" s="8">
        <v>119</v>
      </c>
      <c r="I78" s="5">
        <f>_xlfn.XLOOKUP(TRIM(B78), Reference!A:A, Reference!B:B)</f>
        <v>6.5</v>
      </c>
    </row>
    <row r="79" spans="1:9" x14ac:dyDescent="0.25">
      <c r="A79" s="5" t="s">
        <v>102</v>
      </c>
      <c r="B79" s="5" t="s">
        <v>103</v>
      </c>
      <c r="C79" s="5">
        <v>42</v>
      </c>
      <c r="D79" s="5">
        <v>41.4</v>
      </c>
      <c r="E79" s="5">
        <v>58.9</v>
      </c>
      <c r="F79" s="6">
        <v>70.3</v>
      </c>
      <c r="G79" s="5">
        <v>78.2</v>
      </c>
      <c r="H79" s="8">
        <v>83.5</v>
      </c>
      <c r="I79" s="5">
        <f>_xlfn.XLOOKUP(TRIM(B79), Reference!A:A, Reference!B:B)</f>
        <v>5.5</v>
      </c>
    </row>
    <row r="80" spans="1:9" x14ac:dyDescent="0.25">
      <c r="A80" s="5" t="s">
        <v>104</v>
      </c>
      <c r="B80" s="5" t="s">
        <v>103</v>
      </c>
      <c r="C80" s="5">
        <v>68</v>
      </c>
      <c r="D80" s="5">
        <v>31</v>
      </c>
      <c r="E80" s="5">
        <v>52.3</v>
      </c>
      <c r="F80" s="6">
        <v>73.099999999999994</v>
      </c>
      <c r="G80" s="5">
        <v>75.3</v>
      </c>
      <c r="H80" s="8">
        <v>75.900000000000006</v>
      </c>
      <c r="I80" s="5">
        <f>_xlfn.XLOOKUP(TRIM(B80), Reference!A:A, Reference!B:B)</f>
        <v>5.5</v>
      </c>
    </row>
    <row r="81" spans="1:9" x14ac:dyDescent="0.25">
      <c r="A81" s="5" t="s">
        <v>105</v>
      </c>
      <c r="B81" s="5" t="s">
        <v>103</v>
      </c>
      <c r="C81" s="5">
        <v>70</v>
      </c>
      <c r="D81" s="5">
        <v>22.7</v>
      </c>
      <c r="E81" s="5">
        <v>48.5</v>
      </c>
      <c r="F81" s="6">
        <v>71.3</v>
      </c>
      <c r="G81" s="5">
        <v>77.3</v>
      </c>
      <c r="H81" s="8">
        <v>80.7</v>
      </c>
      <c r="I81" s="5">
        <f>_xlfn.XLOOKUP(TRIM(B81), Reference!A:A, Reference!B:B)</f>
        <v>5.5</v>
      </c>
    </row>
    <row r="82" spans="1:9" x14ac:dyDescent="0.25">
      <c r="A82" s="5" t="s">
        <v>106</v>
      </c>
      <c r="B82" s="5" t="s">
        <v>103</v>
      </c>
      <c r="C82" s="5">
        <v>81</v>
      </c>
      <c r="D82" s="5">
        <v>27.1</v>
      </c>
      <c r="E82" s="5">
        <v>49.9</v>
      </c>
      <c r="F82" s="6">
        <v>71</v>
      </c>
      <c r="G82" s="5">
        <v>72.599999999999994</v>
      </c>
      <c r="H82" s="8">
        <v>84.4</v>
      </c>
      <c r="I82" s="5">
        <f>_xlfn.XLOOKUP(TRIM(B82), Reference!A:A, Reference!B:B)</f>
        <v>5.5</v>
      </c>
    </row>
    <row r="83" spans="1:9" x14ac:dyDescent="0.25">
      <c r="A83" s="5" t="s">
        <v>107</v>
      </c>
      <c r="B83" s="5" t="s">
        <v>103</v>
      </c>
      <c r="C83" s="5">
        <v>95</v>
      </c>
      <c r="D83" s="5">
        <v>23.4</v>
      </c>
      <c r="E83" s="5">
        <v>47.3</v>
      </c>
      <c r="F83" s="6">
        <v>63.6</v>
      </c>
      <c r="G83" s="5">
        <v>76</v>
      </c>
      <c r="H83" s="8">
        <v>77.8</v>
      </c>
      <c r="I83" s="5">
        <f>_xlfn.XLOOKUP(TRIM(B83), Reference!A:A, Reference!B:B)</f>
        <v>5.5</v>
      </c>
    </row>
    <row r="84" spans="1:9" x14ac:dyDescent="0.25">
      <c r="A84" s="5" t="s">
        <v>108</v>
      </c>
      <c r="B84" s="5" t="s">
        <v>103</v>
      </c>
      <c r="C84" s="5">
        <v>97</v>
      </c>
      <c r="D84" s="5">
        <v>24.4</v>
      </c>
      <c r="E84" s="5">
        <v>47.6</v>
      </c>
      <c r="F84" s="6">
        <v>60.6</v>
      </c>
      <c r="G84" s="5">
        <v>73.3</v>
      </c>
      <c r="H84" s="8">
        <v>101.3</v>
      </c>
      <c r="I84" s="5">
        <f>_xlfn.XLOOKUP(TRIM(B84), Reference!A:A, Reference!B:B)</f>
        <v>5.5</v>
      </c>
    </row>
    <row r="85" spans="1:9" x14ac:dyDescent="0.25">
      <c r="A85" s="5" t="s">
        <v>109</v>
      </c>
      <c r="B85" s="5" t="s">
        <v>103</v>
      </c>
      <c r="C85" s="5">
        <v>107</v>
      </c>
      <c r="D85" s="5">
        <v>23.6</v>
      </c>
      <c r="E85" s="5">
        <v>46.1</v>
      </c>
      <c r="F85" s="6">
        <v>63.6</v>
      </c>
      <c r="G85" s="5">
        <v>67.5</v>
      </c>
      <c r="H85" s="8">
        <v>85.6</v>
      </c>
      <c r="I85" s="5">
        <f>_xlfn.XLOOKUP(TRIM(B85), Reference!A:A, Reference!B:B)</f>
        <v>5.5</v>
      </c>
    </row>
    <row r="86" spans="1:9" x14ac:dyDescent="0.25">
      <c r="A86" s="5" t="s">
        <v>110</v>
      </c>
      <c r="B86" s="5" t="s">
        <v>103</v>
      </c>
      <c r="C86" s="5">
        <v>108</v>
      </c>
      <c r="D86" s="5">
        <v>23.8</v>
      </c>
      <c r="E86" s="5">
        <v>46.1</v>
      </c>
      <c r="F86" s="6">
        <v>59.7</v>
      </c>
      <c r="G86" s="5">
        <v>72.5</v>
      </c>
      <c r="H86" s="8">
        <v>85.7</v>
      </c>
      <c r="I86" s="5">
        <f>_xlfn.XLOOKUP(TRIM(B86), Reference!A:A, Reference!B:B)</f>
        <v>5.5</v>
      </c>
    </row>
    <row r="87" spans="1:9" x14ac:dyDescent="0.25">
      <c r="A87" s="5" t="s">
        <v>111</v>
      </c>
      <c r="B87" s="5" t="s">
        <v>103</v>
      </c>
      <c r="C87" s="5">
        <v>109</v>
      </c>
      <c r="D87" s="5">
        <v>34.9</v>
      </c>
      <c r="E87" s="5">
        <v>50.7</v>
      </c>
      <c r="F87" s="6">
        <v>64.900000000000006</v>
      </c>
      <c r="G87" s="5">
        <v>63.5</v>
      </c>
      <c r="H87" s="8">
        <v>84.3</v>
      </c>
      <c r="I87" s="5">
        <f>_xlfn.XLOOKUP(TRIM(B87), Reference!A:A, Reference!B:B)</f>
        <v>5.5</v>
      </c>
    </row>
    <row r="88" spans="1:9" x14ac:dyDescent="0.25">
      <c r="A88" s="5" t="s">
        <v>112</v>
      </c>
      <c r="B88" s="5" t="s">
        <v>103</v>
      </c>
      <c r="C88" s="5">
        <v>112</v>
      </c>
      <c r="D88" s="5">
        <v>21.2</v>
      </c>
      <c r="E88" s="5">
        <v>44.3</v>
      </c>
      <c r="F88" s="6">
        <v>65.8</v>
      </c>
      <c r="G88" s="5">
        <v>72.3</v>
      </c>
      <c r="H88" s="8">
        <v>80.5</v>
      </c>
      <c r="I88" s="5">
        <f>_xlfn.XLOOKUP(TRIM(B88), Reference!A:A, Reference!B:B)</f>
        <v>5.5</v>
      </c>
    </row>
    <row r="89" spans="1:9" x14ac:dyDescent="0.25">
      <c r="A89" s="5" t="s">
        <v>113</v>
      </c>
      <c r="B89" s="5" t="s">
        <v>103</v>
      </c>
      <c r="C89" s="5">
        <v>114</v>
      </c>
      <c r="D89" s="5">
        <v>20</v>
      </c>
      <c r="E89" s="5">
        <v>43.4</v>
      </c>
      <c r="F89" s="6">
        <v>65.8</v>
      </c>
      <c r="G89" s="5">
        <v>65.900000000000006</v>
      </c>
      <c r="H89" s="8">
        <v>91.6</v>
      </c>
      <c r="I89" s="5">
        <f>_xlfn.XLOOKUP(TRIM(B89), Reference!A:A, Reference!B:B)</f>
        <v>5.5</v>
      </c>
    </row>
    <row r="90" spans="1:9" x14ac:dyDescent="0.25">
      <c r="A90" s="5" t="s">
        <v>114</v>
      </c>
      <c r="B90" s="5" t="s">
        <v>103</v>
      </c>
      <c r="C90" s="5">
        <v>115</v>
      </c>
      <c r="D90" s="5">
        <v>19.8</v>
      </c>
      <c r="E90" s="5">
        <v>43</v>
      </c>
      <c r="F90" s="6">
        <v>62.3</v>
      </c>
      <c r="G90" s="5">
        <v>63.7</v>
      </c>
      <c r="H90" s="8">
        <v>84.7</v>
      </c>
      <c r="I90" s="5">
        <f>_xlfn.XLOOKUP(TRIM(B90), Reference!A:A, Reference!B:B)</f>
        <v>5.5</v>
      </c>
    </row>
    <row r="91" spans="1:9" x14ac:dyDescent="0.25">
      <c r="A91" s="5" t="s">
        <v>115</v>
      </c>
      <c r="B91" s="5" t="s">
        <v>103</v>
      </c>
      <c r="C91" s="5">
        <v>116</v>
      </c>
      <c r="D91" s="5">
        <v>20</v>
      </c>
      <c r="E91" s="5">
        <v>42.8</v>
      </c>
      <c r="F91" s="6">
        <v>61.8</v>
      </c>
      <c r="G91" s="5">
        <v>65.5</v>
      </c>
      <c r="H91" s="8">
        <v>103.4</v>
      </c>
      <c r="I91" s="5">
        <f>_xlfn.XLOOKUP(TRIM(B91), Reference!A:A, Reference!B:B)</f>
        <v>5.5</v>
      </c>
    </row>
    <row r="92" spans="1:9" x14ac:dyDescent="0.25">
      <c r="A92" s="5" t="s">
        <v>116</v>
      </c>
      <c r="B92" s="5" t="s">
        <v>103</v>
      </c>
      <c r="C92" s="5">
        <v>117</v>
      </c>
      <c r="D92" s="5">
        <v>19.5</v>
      </c>
      <c r="E92" s="5">
        <v>42</v>
      </c>
      <c r="F92" s="6">
        <v>62.1</v>
      </c>
      <c r="G92" s="5">
        <v>62</v>
      </c>
      <c r="H92" s="8">
        <v>95.3</v>
      </c>
      <c r="I92" s="5">
        <f>_xlfn.XLOOKUP(TRIM(B92), Reference!A:A, Reference!B:B)</f>
        <v>5.5</v>
      </c>
    </row>
    <row r="93" spans="1:9" x14ac:dyDescent="0.25">
      <c r="A93" s="5" t="s">
        <v>117</v>
      </c>
      <c r="B93" s="5" t="s">
        <v>103</v>
      </c>
      <c r="C93" s="5">
        <v>120</v>
      </c>
      <c r="D93" s="5">
        <v>16.899999999999999</v>
      </c>
      <c r="E93" s="5">
        <v>40.6</v>
      </c>
      <c r="F93" s="6">
        <v>60.3</v>
      </c>
      <c r="G93" s="5">
        <v>65.3</v>
      </c>
      <c r="H93" s="8">
        <v>99.2</v>
      </c>
      <c r="I93" s="5">
        <f>_xlfn.XLOOKUP(TRIM(B93), Reference!A:A, Reference!B:B)</f>
        <v>5.5</v>
      </c>
    </row>
    <row r="94" spans="1:9" x14ac:dyDescent="0.25">
      <c r="A94" s="5" t="s">
        <v>118</v>
      </c>
      <c r="B94" s="5" t="s">
        <v>103</v>
      </c>
      <c r="C94" s="5">
        <v>124</v>
      </c>
      <c r="D94" s="5">
        <v>25.1</v>
      </c>
      <c r="E94" s="5">
        <v>43.9</v>
      </c>
      <c r="F94" s="6">
        <v>59</v>
      </c>
      <c r="G94" s="5">
        <v>61.4</v>
      </c>
      <c r="H94" s="8">
        <v>78.599999999999994</v>
      </c>
      <c r="I94" s="5">
        <f>_xlfn.XLOOKUP(TRIM(B94), Reference!A:A, Reference!B:B)</f>
        <v>5.5</v>
      </c>
    </row>
    <row r="95" spans="1:9" x14ac:dyDescent="0.25">
      <c r="A95" s="5" t="s">
        <v>119</v>
      </c>
      <c r="B95" s="5" t="s">
        <v>103</v>
      </c>
      <c r="C95" s="5">
        <v>127</v>
      </c>
      <c r="D95" s="5">
        <v>20.2</v>
      </c>
      <c r="E95" s="5">
        <v>41.2</v>
      </c>
      <c r="F95" s="6">
        <v>61.6</v>
      </c>
      <c r="G95" s="5">
        <v>57.4</v>
      </c>
      <c r="H95" s="8">
        <v>97.3</v>
      </c>
      <c r="I95" s="5">
        <f>_xlfn.XLOOKUP(TRIM(B95), Reference!A:A, Reference!B:B)</f>
        <v>5.5</v>
      </c>
    </row>
    <row r="96" spans="1:9" x14ac:dyDescent="0.25">
      <c r="A96" s="5" t="s">
        <v>120</v>
      </c>
      <c r="B96" s="5" t="s">
        <v>103</v>
      </c>
      <c r="C96" s="5">
        <v>131</v>
      </c>
      <c r="D96" s="5">
        <v>20.8</v>
      </c>
      <c r="E96" s="5">
        <v>40.5</v>
      </c>
      <c r="F96" s="6">
        <v>57</v>
      </c>
      <c r="G96" s="5">
        <v>58.1</v>
      </c>
      <c r="H96" s="8">
        <v>94.7</v>
      </c>
      <c r="I96" s="5">
        <f>_xlfn.XLOOKUP(TRIM(B96), Reference!A:A, Reference!B:B)</f>
        <v>5.5</v>
      </c>
    </row>
    <row r="97" spans="1:9" x14ac:dyDescent="0.25">
      <c r="A97" s="5" t="s">
        <v>121</v>
      </c>
      <c r="B97" s="5" t="s">
        <v>103</v>
      </c>
      <c r="C97" s="5">
        <v>146</v>
      </c>
      <c r="D97" s="5">
        <v>14.6</v>
      </c>
      <c r="E97" s="5">
        <v>35.299999999999997</v>
      </c>
      <c r="F97" s="6">
        <v>46.7</v>
      </c>
      <c r="G97" s="5">
        <v>56.5</v>
      </c>
      <c r="H97" s="8">
        <v>112</v>
      </c>
      <c r="I97" s="5">
        <f>_xlfn.XLOOKUP(TRIM(B97), Reference!A:A, Reference!B:B)</f>
        <v>5.5</v>
      </c>
    </row>
    <row r="98" spans="1:9" x14ac:dyDescent="0.25">
      <c r="A98" s="5" t="s">
        <v>122</v>
      </c>
      <c r="B98" s="5" t="s">
        <v>123</v>
      </c>
      <c r="C98" s="5">
        <v>212</v>
      </c>
      <c r="D98" s="5">
        <v>8.4</v>
      </c>
      <c r="E98" s="5">
        <v>19.7</v>
      </c>
      <c r="F98" s="6">
        <v>29.9</v>
      </c>
      <c r="G98" s="5">
        <v>25.5</v>
      </c>
      <c r="H98" s="8">
        <v>66.400000000000006</v>
      </c>
      <c r="I98" s="5">
        <f>_xlfn.XLOOKUP(TRIM(B98), Reference!A:A, Reference!B:B)</f>
        <v>2</v>
      </c>
    </row>
    <row r="99" spans="1:9" x14ac:dyDescent="0.25">
      <c r="A99" s="5" t="s">
        <v>124</v>
      </c>
      <c r="B99" s="5" t="s">
        <v>125</v>
      </c>
      <c r="C99" s="5">
        <v>133</v>
      </c>
      <c r="D99" s="5">
        <v>14.5</v>
      </c>
      <c r="E99" s="5">
        <v>36.9</v>
      </c>
      <c r="F99" s="6">
        <v>48.4</v>
      </c>
      <c r="G99" s="5">
        <v>59.6</v>
      </c>
      <c r="H99" s="8">
        <v>82.3</v>
      </c>
      <c r="I99" s="5">
        <f>_xlfn.XLOOKUP(TRIM(B99), Reference!A:A, Reference!B:B)</f>
        <v>4</v>
      </c>
    </row>
    <row r="100" spans="1:9" x14ac:dyDescent="0.25">
      <c r="A100" s="5" t="s">
        <v>126</v>
      </c>
      <c r="B100" s="5" t="s">
        <v>127</v>
      </c>
      <c r="C100" s="5">
        <v>143</v>
      </c>
      <c r="D100" s="5">
        <v>20.100000000000001</v>
      </c>
      <c r="E100" s="5">
        <v>38.299999999999997</v>
      </c>
      <c r="F100" s="6">
        <v>45.9</v>
      </c>
      <c r="G100" s="5">
        <v>58.3</v>
      </c>
      <c r="H100" s="8">
        <v>96.3</v>
      </c>
      <c r="I100" s="5">
        <f>_xlfn.XLOOKUP(TRIM(B100), Reference!A:A, Reference!B:B)</f>
        <v>4</v>
      </c>
    </row>
    <row r="101" spans="1:9" x14ac:dyDescent="0.25">
      <c r="A101" s="5" t="s">
        <v>128</v>
      </c>
      <c r="B101" s="5" t="s">
        <v>127</v>
      </c>
      <c r="C101" s="5">
        <v>144</v>
      </c>
      <c r="D101" s="5">
        <v>13.6</v>
      </c>
      <c r="E101" s="5">
        <v>35.200000000000003</v>
      </c>
      <c r="F101" s="6">
        <v>49.7</v>
      </c>
      <c r="G101" s="5">
        <v>59</v>
      </c>
      <c r="H101" s="8">
        <v>84.1</v>
      </c>
      <c r="I101" s="5">
        <f>_xlfn.XLOOKUP(TRIM(B101), Reference!A:A, Reference!B:B)</f>
        <v>4</v>
      </c>
    </row>
    <row r="102" spans="1:9" x14ac:dyDescent="0.25">
      <c r="A102" s="5" t="s">
        <v>129</v>
      </c>
      <c r="B102" s="5" t="s">
        <v>130</v>
      </c>
      <c r="C102" s="5">
        <v>16</v>
      </c>
      <c r="D102" s="5">
        <v>54.8</v>
      </c>
      <c r="E102" s="5">
        <v>69.099999999999994</v>
      </c>
      <c r="F102" s="6">
        <v>78.5</v>
      </c>
      <c r="G102" s="5">
        <v>90.7</v>
      </c>
      <c r="H102" s="8">
        <v>147.19999999999999</v>
      </c>
      <c r="I102" s="5">
        <f>_xlfn.XLOOKUP(TRIM(B102), Reference!A:A, Reference!B:B)</f>
        <v>6</v>
      </c>
    </row>
    <row r="103" spans="1:9" x14ac:dyDescent="0.25">
      <c r="A103" s="5" t="s">
        <v>131</v>
      </c>
      <c r="B103" s="5" t="s">
        <v>132</v>
      </c>
      <c r="C103" s="5">
        <v>110</v>
      </c>
      <c r="D103" s="5">
        <v>39.799999999999997</v>
      </c>
      <c r="E103" s="5">
        <v>52.8</v>
      </c>
      <c r="F103" s="6">
        <v>62.6</v>
      </c>
      <c r="G103" s="5">
        <v>71.900000000000006</v>
      </c>
      <c r="H103" s="8">
        <v>71.400000000000006</v>
      </c>
      <c r="I103" s="5">
        <f>_xlfn.XLOOKUP(TRIM(B103), Reference!A:A, Reference!B:B)</f>
        <v>5.5</v>
      </c>
    </row>
    <row r="104" spans="1:9" x14ac:dyDescent="0.25">
      <c r="A104" s="5" t="s">
        <v>133</v>
      </c>
      <c r="B104" s="5" t="s">
        <v>132</v>
      </c>
      <c r="C104" s="5">
        <v>119</v>
      </c>
      <c r="D104" s="5">
        <v>35.200000000000003</v>
      </c>
      <c r="E104" s="5">
        <v>48.9</v>
      </c>
      <c r="F104" s="6">
        <v>56</v>
      </c>
      <c r="G104" s="5">
        <v>67.900000000000006</v>
      </c>
      <c r="H104" s="8">
        <v>83.9</v>
      </c>
      <c r="I104" s="5">
        <f>_xlfn.XLOOKUP(TRIM(B104), Reference!A:A, Reference!B:B)</f>
        <v>5.5</v>
      </c>
    </row>
    <row r="105" spans="1:9" x14ac:dyDescent="0.25">
      <c r="A105" s="5" t="s">
        <v>134</v>
      </c>
      <c r="B105" s="5" t="s">
        <v>135</v>
      </c>
      <c r="C105" s="5">
        <v>197</v>
      </c>
      <c r="D105" s="5">
        <v>15.8</v>
      </c>
      <c r="E105" s="5">
        <v>27.2</v>
      </c>
      <c r="F105" s="6">
        <v>33.799999999999997</v>
      </c>
      <c r="G105" s="5">
        <v>34</v>
      </c>
      <c r="H105" s="8">
        <v>56.2</v>
      </c>
      <c r="I105" s="5">
        <f>_xlfn.XLOOKUP(TRIM(B105), Reference!A:A, Reference!B:B)</f>
        <v>1.5</v>
      </c>
    </row>
    <row r="106" spans="1:9" x14ac:dyDescent="0.25">
      <c r="A106" s="5" t="s">
        <v>136</v>
      </c>
      <c r="B106" s="5" t="s">
        <v>137</v>
      </c>
      <c r="C106" s="5">
        <v>181</v>
      </c>
      <c r="D106" s="5">
        <v>16.7</v>
      </c>
      <c r="E106" s="5">
        <v>30.9</v>
      </c>
      <c r="F106" s="6">
        <v>41.1</v>
      </c>
      <c r="G106" s="5">
        <v>43.5</v>
      </c>
      <c r="H106" s="8">
        <v>72.099999999999994</v>
      </c>
      <c r="I106" s="5">
        <f>_xlfn.XLOOKUP(TRIM(B106), Reference!A:A, Reference!B:B)</f>
        <v>3</v>
      </c>
    </row>
    <row r="107" spans="1:9" x14ac:dyDescent="0.25">
      <c r="A107" s="5" t="s">
        <v>138</v>
      </c>
      <c r="B107" s="5" t="s">
        <v>139</v>
      </c>
      <c r="C107" s="5">
        <v>14</v>
      </c>
      <c r="D107" s="5">
        <v>60</v>
      </c>
      <c r="E107" s="5">
        <v>72.5</v>
      </c>
      <c r="F107" s="6">
        <v>71.5</v>
      </c>
      <c r="G107" s="5">
        <v>91.8</v>
      </c>
      <c r="H107" s="8">
        <v>129.9</v>
      </c>
      <c r="I107" s="5">
        <f>_xlfn.XLOOKUP(TRIM(B107), Reference!A:A, Reference!B:B)</f>
        <v>5.5</v>
      </c>
    </row>
    <row r="108" spans="1:9" x14ac:dyDescent="0.25">
      <c r="A108" s="5" t="s">
        <v>140</v>
      </c>
      <c r="B108" s="5" t="s">
        <v>139</v>
      </c>
      <c r="C108" s="5">
        <v>17</v>
      </c>
      <c r="D108" s="5">
        <v>43.5</v>
      </c>
      <c r="E108" s="5">
        <v>63.5</v>
      </c>
      <c r="F108" s="6">
        <v>70.900000000000006</v>
      </c>
      <c r="G108" s="5">
        <v>92.9</v>
      </c>
      <c r="H108" s="8">
        <v>118.5</v>
      </c>
      <c r="I108" s="5">
        <f>_xlfn.XLOOKUP(TRIM(B108), Reference!A:A, Reference!B:B)</f>
        <v>5.5</v>
      </c>
    </row>
    <row r="109" spans="1:9" x14ac:dyDescent="0.25">
      <c r="A109" s="5" t="s">
        <v>141</v>
      </c>
      <c r="B109" s="5" t="s">
        <v>139</v>
      </c>
      <c r="C109" s="5">
        <v>22</v>
      </c>
      <c r="D109" s="5">
        <v>44.2</v>
      </c>
      <c r="E109" s="5">
        <v>62.5</v>
      </c>
      <c r="F109" s="6">
        <v>68.8</v>
      </c>
      <c r="G109" s="5">
        <v>79.599999999999994</v>
      </c>
      <c r="H109" s="8">
        <v>143.69999999999999</v>
      </c>
      <c r="I109" s="5">
        <f>_xlfn.XLOOKUP(TRIM(B109), Reference!A:A, Reference!B:B)</f>
        <v>5.5</v>
      </c>
    </row>
    <row r="110" spans="1:9" x14ac:dyDescent="0.25">
      <c r="A110" s="5" t="s">
        <v>142</v>
      </c>
      <c r="B110" s="5" t="s">
        <v>139</v>
      </c>
      <c r="C110" s="5">
        <v>29</v>
      </c>
      <c r="D110" s="5">
        <v>41.1</v>
      </c>
      <c r="E110" s="5">
        <v>59.7</v>
      </c>
      <c r="F110" s="6">
        <v>68.2</v>
      </c>
      <c r="G110" s="5">
        <v>82.2</v>
      </c>
      <c r="H110" s="8">
        <v>126.3</v>
      </c>
      <c r="I110" s="5">
        <f>_xlfn.XLOOKUP(TRIM(B110), Reference!A:A, Reference!B:B)</f>
        <v>5.5</v>
      </c>
    </row>
    <row r="111" spans="1:9" x14ac:dyDescent="0.25">
      <c r="A111" s="5" t="s">
        <v>143</v>
      </c>
      <c r="B111" s="5" t="s">
        <v>139</v>
      </c>
      <c r="C111" s="5">
        <v>32</v>
      </c>
      <c r="D111" s="5">
        <v>39.5</v>
      </c>
      <c r="E111" s="5">
        <v>58.7</v>
      </c>
      <c r="F111" s="6">
        <v>70.7</v>
      </c>
      <c r="G111" s="5">
        <v>87.1</v>
      </c>
      <c r="H111" s="8">
        <v>116.6</v>
      </c>
      <c r="I111" s="5">
        <f>_xlfn.XLOOKUP(TRIM(B111), Reference!A:A, Reference!B:B)</f>
        <v>5.5</v>
      </c>
    </row>
    <row r="112" spans="1:9" x14ac:dyDescent="0.25">
      <c r="A112" s="5" t="s">
        <v>144</v>
      </c>
      <c r="B112" s="5" t="s">
        <v>139</v>
      </c>
      <c r="C112" s="5">
        <v>44</v>
      </c>
      <c r="D112" s="5">
        <v>43.8</v>
      </c>
      <c r="E112" s="5">
        <v>59.6</v>
      </c>
      <c r="F112" s="6">
        <v>67.599999999999994</v>
      </c>
      <c r="G112" s="5">
        <v>79.3</v>
      </c>
      <c r="H112" s="8">
        <v>147.5</v>
      </c>
      <c r="I112" s="5">
        <f>_xlfn.XLOOKUP(TRIM(B112), Reference!A:A, Reference!B:B)</f>
        <v>5.5</v>
      </c>
    </row>
    <row r="113" spans="1:9" x14ac:dyDescent="0.25">
      <c r="A113" s="5" t="s">
        <v>145</v>
      </c>
      <c r="B113" s="5" t="s">
        <v>139</v>
      </c>
      <c r="C113" s="5">
        <v>50</v>
      </c>
      <c r="D113" s="5">
        <v>36</v>
      </c>
      <c r="E113" s="5">
        <v>55.8</v>
      </c>
      <c r="F113" s="6">
        <v>65.5</v>
      </c>
      <c r="G113" s="5">
        <v>79.099999999999994</v>
      </c>
      <c r="H113" s="8">
        <v>139.80000000000001</v>
      </c>
      <c r="I113" s="5">
        <f>_xlfn.XLOOKUP(TRIM(B113), Reference!A:A, Reference!B:B)</f>
        <v>5.5</v>
      </c>
    </row>
    <row r="114" spans="1:9" x14ac:dyDescent="0.25">
      <c r="A114" s="5" t="s">
        <v>146</v>
      </c>
      <c r="B114" s="5" t="s">
        <v>139</v>
      </c>
      <c r="C114" s="5">
        <v>57</v>
      </c>
      <c r="D114" s="5">
        <v>36.299999999999997</v>
      </c>
      <c r="E114" s="5">
        <v>55.6</v>
      </c>
      <c r="F114" s="6">
        <v>67.099999999999994</v>
      </c>
      <c r="G114" s="5">
        <v>72.8</v>
      </c>
      <c r="H114" s="8">
        <v>157.4</v>
      </c>
      <c r="I114" s="5">
        <f>_xlfn.XLOOKUP(TRIM(B114), Reference!A:A, Reference!B:B)</f>
        <v>5.5</v>
      </c>
    </row>
    <row r="115" spans="1:9" x14ac:dyDescent="0.25">
      <c r="A115" s="5" t="s">
        <v>147</v>
      </c>
      <c r="B115" s="5" t="s">
        <v>139</v>
      </c>
      <c r="C115" s="5">
        <v>76</v>
      </c>
      <c r="D115" s="5">
        <v>28</v>
      </c>
      <c r="E115" s="5">
        <v>50.5</v>
      </c>
      <c r="F115" s="6">
        <v>67.099999999999994</v>
      </c>
      <c r="G115" s="5">
        <v>75</v>
      </c>
      <c r="H115" s="8">
        <v>126.7</v>
      </c>
      <c r="I115" s="5">
        <f>_xlfn.XLOOKUP(TRIM(B115), Reference!A:A, Reference!B:B)</f>
        <v>5.5</v>
      </c>
    </row>
    <row r="116" spans="1:9" x14ac:dyDescent="0.25">
      <c r="A116" s="5" t="s">
        <v>148</v>
      </c>
      <c r="B116" s="5" t="s">
        <v>149</v>
      </c>
      <c r="C116" s="5">
        <v>192</v>
      </c>
      <c r="D116" s="5">
        <v>9.5</v>
      </c>
      <c r="E116" s="5">
        <v>25.3</v>
      </c>
      <c r="F116" s="6">
        <v>37.200000000000003</v>
      </c>
      <c r="G116" s="5">
        <v>32.6</v>
      </c>
      <c r="H116" s="8">
        <v>65.5</v>
      </c>
      <c r="I116" s="5">
        <f>_xlfn.XLOOKUP(TRIM(B116), Reference!A:A, Reference!B:B)</f>
        <v>2</v>
      </c>
    </row>
    <row r="117" spans="1:9" x14ac:dyDescent="0.25">
      <c r="A117" s="5" t="s">
        <v>150</v>
      </c>
      <c r="B117" s="5" t="s">
        <v>151</v>
      </c>
      <c r="C117" s="5">
        <v>8</v>
      </c>
      <c r="D117" s="5">
        <v>39.299999999999997</v>
      </c>
      <c r="E117" s="5">
        <v>67.5</v>
      </c>
      <c r="F117" s="6">
        <v>90.7</v>
      </c>
      <c r="G117" s="5">
        <v>99.1</v>
      </c>
      <c r="H117" s="8">
        <v>110.8</v>
      </c>
      <c r="I117" s="5">
        <f>_xlfn.XLOOKUP(TRIM(B117), Reference!A:A, Reference!B:B)</f>
        <v>9.5</v>
      </c>
    </row>
    <row r="118" spans="1:9" x14ac:dyDescent="0.25">
      <c r="A118" s="5" t="s">
        <v>152</v>
      </c>
      <c r="B118" s="5" t="s">
        <v>151</v>
      </c>
      <c r="C118" s="5">
        <v>11</v>
      </c>
      <c r="D118" s="5">
        <v>29</v>
      </c>
      <c r="E118" s="5">
        <v>60.3</v>
      </c>
      <c r="F118" s="6">
        <v>84.5</v>
      </c>
      <c r="G118" s="5">
        <v>98.3</v>
      </c>
      <c r="H118" s="8">
        <v>126.9</v>
      </c>
      <c r="I118" s="5">
        <f>_xlfn.XLOOKUP(TRIM(B118), Reference!A:A, Reference!B:B)</f>
        <v>9.5</v>
      </c>
    </row>
    <row r="119" spans="1:9" x14ac:dyDescent="0.25">
      <c r="A119" s="5" t="s">
        <v>153</v>
      </c>
      <c r="B119" s="5" t="s">
        <v>151</v>
      </c>
      <c r="C119" s="5">
        <v>12</v>
      </c>
      <c r="D119" s="5">
        <v>29.8</v>
      </c>
      <c r="E119" s="5">
        <v>60.3</v>
      </c>
      <c r="F119" s="6">
        <v>88</v>
      </c>
      <c r="G119" s="5">
        <v>89.8</v>
      </c>
      <c r="H119" s="8">
        <v>127.6</v>
      </c>
      <c r="I119" s="5">
        <f>_xlfn.XLOOKUP(TRIM(B119), Reference!A:A, Reference!B:B)</f>
        <v>9.5</v>
      </c>
    </row>
    <row r="120" spans="1:9" x14ac:dyDescent="0.25">
      <c r="A120" s="5" t="s">
        <v>154</v>
      </c>
      <c r="B120" s="5" t="s">
        <v>151</v>
      </c>
      <c r="C120" s="5">
        <v>13</v>
      </c>
      <c r="D120" s="5">
        <v>37.1</v>
      </c>
      <c r="E120" s="5">
        <v>62.4</v>
      </c>
      <c r="F120" s="6">
        <v>84.3</v>
      </c>
      <c r="G120" s="5">
        <v>89.5</v>
      </c>
      <c r="H120" s="8">
        <v>134.9</v>
      </c>
      <c r="I120" s="5">
        <f>_xlfn.XLOOKUP(TRIM(B120), Reference!A:A, Reference!B:B)</f>
        <v>9.5</v>
      </c>
    </row>
    <row r="121" spans="1:9" x14ac:dyDescent="0.25">
      <c r="A121" s="5" t="s">
        <v>155</v>
      </c>
      <c r="B121" s="5" t="s">
        <v>156</v>
      </c>
      <c r="C121" s="5">
        <v>140</v>
      </c>
      <c r="D121" s="5">
        <v>28.5</v>
      </c>
      <c r="E121" s="5">
        <v>42.3</v>
      </c>
      <c r="F121" s="6">
        <v>46.4</v>
      </c>
      <c r="G121" s="5">
        <v>52.5</v>
      </c>
      <c r="H121" s="8">
        <v>98.9</v>
      </c>
      <c r="I121" s="5">
        <f>_xlfn.XLOOKUP(TRIM(B121), Reference!A:A, Reference!B:B)</f>
        <v>3.5</v>
      </c>
    </row>
    <row r="122" spans="1:9" x14ac:dyDescent="0.25">
      <c r="A122" s="5" t="s">
        <v>157</v>
      </c>
      <c r="B122" s="5" t="s">
        <v>156</v>
      </c>
      <c r="C122" s="5">
        <v>155</v>
      </c>
      <c r="D122" s="5">
        <v>21.6</v>
      </c>
      <c r="E122" s="5">
        <v>37.200000000000003</v>
      </c>
      <c r="F122" s="6">
        <v>42.1</v>
      </c>
      <c r="G122" s="5">
        <v>51.8</v>
      </c>
      <c r="H122" s="8">
        <v>97.1</v>
      </c>
      <c r="I122" s="5">
        <f>_xlfn.XLOOKUP(TRIM(B122), Reference!A:A, Reference!B:B)</f>
        <v>3.5</v>
      </c>
    </row>
    <row r="123" spans="1:9" x14ac:dyDescent="0.25">
      <c r="A123" s="5" t="s">
        <v>158</v>
      </c>
      <c r="B123" s="5" t="s">
        <v>156</v>
      </c>
      <c r="C123" s="5">
        <v>157</v>
      </c>
      <c r="D123" s="5">
        <v>22.4</v>
      </c>
      <c r="E123" s="5">
        <v>37.4</v>
      </c>
      <c r="F123" s="6">
        <v>41.9</v>
      </c>
      <c r="G123" s="5">
        <v>50.9</v>
      </c>
      <c r="H123" s="8">
        <v>102.8</v>
      </c>
      <c r="I123" s="5">
        <f>_xlfn.XLOOKUP(TRIM(B123), Reference!A:A, Reference!B:B)</f>
        <v>3.5</v>
      </c>
    </row>
    <row r="124" spans="1:9" x14ac:dyDescent="0.25">
      <c r="A124" s="5" t="s">
        <v>159</v>
      </c>
      <c r="B124" s="5" t="s">
        <v>156</v>
      </c>
      <c r="C124" s="5">
        <v>158</v>
      </c>
      <c r="D124" s="5">
        <v>21.7</v>
      </c>
      <c r="E124" s="5">
        <v>37.1</v>
      </c>
      <c r="F124" s="6">
        <v>42.3</v>
      </c>
      <c r="G124" s="5">
        <v>51.4</v>
      </c>
      <c r="H124" s="8">
        <v>92.8</v>
      </c>
      <c r="I124" s="5">
        <f>_xlfn.XLOOKUP(TRIM(B124), Reference!A:A, Reference!B:B)</f>
        <v>3.5</v>
      </c>
    </row>
    <row r="125" spans="1:9" x14ac:dyDescent="0.25">
      <c r="A125" s="5" t="s">
        <v>160</v>
      </c>
      <c r="B125" s="5" t="s">
        <v>156</v>
      </c>
      <c r="C125" s="5">
        <v>165</v>
      </c>
      <c r="D125" s="5">
        <v>15.4</v>
      </c>
      <c r="E125" s="5">
        <v>33.1</v>
      </c>
      <c r="F125" s="6">
        <v>40.9</v>
      </c>
      <c r="G125" s="5">
        <v>49.9</v>
      </c>
      <c r="H125" s="8">
        <v>98</v>
      </c>
      <c r="I125" s="5">
        <f>_xlfn.XLOOKUP(TRIM(B125), Reference!A:A, Reference!B:B)</f>
        <v>3.5</v>
      </c>
    </row>
    <row r="126" spans="1:9" x14ac:dyDescent="0.25">
      <c r="A126" s="5" t="s">
        <v>161</v>
      </c>
      <c r="B126" s="5" t="s">
        <v>156</v>
      </c>
      <c r="C126" s="5">
        <v>168</v>
      </c>
      <c r="D126" s="5">
        <v>19</v>
      </c>
      <c r="E126" s="5">
        <v>34.200000000000003</v>
      </c>
      <c r="F126" s="6">
        <v>39.700000000000003</v>
      </c>
      <c r="G126" s="5">
        <v>47.3</v>
      </c>
      <c r="H126" s="8">
        <v>105.3</v>
      </c>
      <c r="I126" s="5">
        <f>_xlfn.XLOOKUP(TRIM(B126), Reference!A:A, Reference!B:B)</f>
        <v>3.5</v>
      </c>
    </row>
    <row r="127" spans="1:9" x14ac:dyDescent="0.25">
      <c r="A127" s="5" t="s">
        <v>162</v>
      </c>
      <c r="B127" s="5" t="s">
        <v>156</v>
      </c>
      <c r="C127" s="5">
        <v>174</v>
      </c>
      <c r="D127" s="5">
        <v>16.7</v>
      </c>
      <c r="E127" s="5">
        <v>32.200000000000003</v>
      </c>
      <c r="F127" s="6">
        <v>39.200000000000003</v>
      </c>
      <c r="G127" s="5">
        <v>43.7</v>
      </c>
      <c r="H127" s="8">
        <v>101.3</v>
      </c>
      <c r="I127" s="5">
        <f>_xlfn.XLOOKUP(TRIM(B127), Reference!A:A, Reference!B:B)</f>
        <v>3.5</v>
      </c>
    </row>
    <row r="128" spans="1:9" x14ac:dyDescent="0.25">
      <c r="A128" s="5" t="s">
        <v>163</v>
      </c>
      <c r="B128" s="5" t="s">
        <v>156</v>
      </c>
      <c r="C128" s="5">
        <v>175</v>
      </c>
      <c r="D128" s="5">
        <v>15.6</v>
      </c>
      <c r="E128" s="5">
        <v>31.7</v>
      </c>
      <c r="F128" s="6">
        <v>41.6</v>
      </c>
      <c r="G128" s="5">
        <v>46.1</v>
      </c>
      <c r="H128" s="8">
        <v>101.6</v>
      </c>
      <c r="I128" s="5">
        <f>_xlfn.XLOOKUP(TRIM(B128), Reference!A:A, Reference!B:B)</f>
        <v>3.5</v>
      </c>
    </row>
    <row r="129" spans="1:9" x14ac:dyDescent="0.25">
      <c r="A129" s="5" t="s">
        <v>164</v>
      </c>
      <c r="B129" s="5" t="s">
        <v>165</v>
      </c>
      <c r="C129" s="5">
        <v>136</v>
      </c>
      <c r="D129" s="5">
        <v>38.6</v>
      </c>
      <c r="E129" s="5">
        <v>47.2</v>
      </c>
      <c r="F129" s="6">
        <v>50.1</v>
      </c>
      <c r="G129" s="5">
        <v>53.1</v>
      </c>
      <c r="H129" s="8">
        <v>60.9</v>
      </c>
      <c r="I129" s="5">
        <f>_xlfn.XLOOKUP(TRIM(B129), Reference!A:A, Reference!B:B)</f>
        <v>3</v>
      </c>
    </row>
    <row r="130" spans="1:9" x14ac:dyDescent="0.25">
      <c r="A130" s="5" t="s">
        <v>166</v>
      </c>
      <c r="B130" s="5" t="s">
        <v>165</v>
      </c>
      <c r="C130" s="5">
        <v>159</v>
      </c>
      <c r="D130" s="5">
        <v>29.6</v>
      </c>
      <c r="E130" s="5">
        <v>40.5</v>
      </c>
      <c r="F130" s="6">
        <v>46.5</v>
      </c>
      <c r="G130" s="5">
        <v>47</v>
      </c>
      <c r="H130" s="8">
        <v>68.900000000000006</v>
      </c>
      <c r="I130" s="5">
        <f>_xlfn.XLOOKUP(TRIM(B130), Reference!A:A, Reference!B:B)</f>
        <v>3</v>
      </c>
    </row>
    <row r="131" spans="1:9" x14ac:dyDescent="0.25">
      <c r="A131" s="5" t="s">
        <v>167</v>
      </c>
      <c r="B131" s="5" t="s">
        <v>165</v>
      </c>
      <c r="C131" s="5">
        <v>166</v>
      </c>
      <c r="D131" s="5">
        <v>20.9</v>
      </c>
      <c r="E131" s="5">
        <v>35.5</v>
      </c>
      <c r="F131" s="6">
        <v>47.8</v>
      </c>
      <c r="G131" s="5">
        <v>42.5</v>
      </c>
      <c r="H131" s="8">
        <v>75.8</v>
      </c>
      <c r="I131" s="5">
        <f>_xlfn.XLOOKUP(TRIM(B131), Reference!A:A, Reference!B:B)</f>
        <v>3</v>
      </c>
    </row>
    <row r="132" spans="1:9" x14ac:dyDescent="0.25">
      <c r="A132" s="5" t="s">
        <v>168</v>
      </c>
      <c r="B132" s="5" t="s">
        <v>165</v>
      </c>
      <c r="C132" s="5">
        <v>167</v>
      </c>
      <c r="D132" s="5">
        <v>21</v>
      </c>
      <c r="E132" s="5">
        <v>35.200000000000003</v>
      </c>
      <c r="F132" s="6">
        <v>46.3</v>
      </c>
      <c r="G132" s="5">
        <v>43.8</v>
      </c>
      <c r="H132" s="8">
        <v>71.2</v>
      </c>
      <c r="I132" s="5">
        <f>_xlfn.XLOOKUP(TRIM(B132), Reference!A:A, Reference!B:B)</f>
        <v>3</v>
      </c>
    </row>
    <row r="133" spans="1:9" x14ac:dyDescent="0.25">
      <c r="A133" s="5" t="s">
        <v>169</v>
      </c>
      <c r="B133" s="5" t="s">
        <v>170</v>
      </c>
      <c r="C133" s="5">
        <v>169</v>
      </c>
      <c r="D133" s="5">
        <v>15.6</v>
      </c>
      <c r="E133" s="5">
        <v>32.6</v>
      </c>
      <c r="F133" s="6">
        <v>42.9</v>
      </c>
      <c r="G133" s="5">
        <v>53.4</v>
      </c>
      <c r="H133" s="8">
        <v>85.4</v>
      </c>
      <c r="I133" s="5">
        <f>_xlfn.XLOOKUP(TRIM(B133), Reference!A:A, Reference!B:B)</f>
        <v>2.5</v>
      </c>
    </row>
    <row r="134" spans="1:9" x14ac:dyDescent="0.25">
      <c r="A134" s="5" t="s">
        <v>171</v>
      </c>
      <c r="B134" s="5" t="s">
        <v>170</v>
      </c>
      <c r="C134" s="5">
        <v>176</v>
      </c>
      <c r="D134" s="5">
        <v>17.399999999999999</v>
      </c>
      <c r="E134" s="5">
        <v>32.5</v>
      </c>
      <c r="F134" s="6">
        <v>42.4</v>
      </c>
      <c r="G134" s="5">
        <v>49.1</v>
      </c>
      <c r="H134" s="8">
        <v>83.6</v>
      </c>
      <c r="I134" s="5">
        <f>_xlfn.XLOOKUP(TRIM(B134), Reference!A:A, Reference!B:B)</f>
        <v>2.5</v>
      </c>
    </row>
    <row r="135" spans="1:9" x14ac:dyDescent="0.25">
      <c r="A135" s="5" t="s">
        <v>172</v>
      </c>
      <c r="B135" s="5" t="s">
        <v>170</v>
      </c>
      <c r="C135" s="5">
        <v>178</v>
      </c>
      <c r="D135" s="5">
        <v>17.2</v>
      </c>
      <c r="E135" s="5">
        <v>31.9</v>
      </c>
      <c r="F135" s="6">
        <v>40.5</v>
      </c>
      <c r="G135" s="5">
        <v>49.6</v>
      </c>
      <c r="H135" s="8">
        <v>67.900000000000006</v>
      </c>
      <c r="I135" s="5">
        <f>_xlfn.XLOOKUP(TRIM(B135), Reference!A:A, Reference!B:B)</f>
        <v>2.5</v>
      </c>
    </row>
    <row r="136" spans="1:9" x14ac:dyDescent="0.25">
      <c r="A136" s="5" t="s">
        <v>173</v>
      </c>
      <c r="B136" s="5" t="s">
        <v>170</v>
      </c>
      <c r="C136" s="5">
        <v>179</v>
      </c>
      <c r="D136" s="5">
        <v>14.8</v>
      </c>
      <c r="E136" s="5">
        <v>30.7</v>
      </c>
      <c r="F136" s="6">
        <v>39.6</v>
      </c>
      <c r="G136" s="5">
        <v>52</v>
      </c>
      <c r="H136" s="8">
        <v>62.9</v>
      </c>
      <c r="I136" s="5">
        <f>_xlfn.XLOOKUP(TRIM(B136), Reference!A:A, Reference!B:B)</f>
        <v>2.5</v>
      </c>
    </row>
    <row r="137" spans="1:9" x14ac:dyDescent="0.25">
      <c r="A137" s="5" t="s">
        <v>174</v>
      </c>
      <c r="B137" s="5" t="s">
        <v>170</v>
      </c>
      <c r="C137" s="5">
        <v>182</v>
      </c>
      <c r="D137" s="5">
        <v>11.7</v>
      </c>
      <c r="E137" s="5">
        <v>28.1</v>
      </c>
      <c r="F137" s="6">
        <v>38.5</v>
      </c>
      <c r="G137" s="5">
        <v>46.9</v>
      </c>
      <c r="H137" s="8">
        <v>90.8</v>
      </c>
      <c r="I137" s="5">
        <f>_xlfn.XLOOKUP(TRIM(B137), Reference!A:A, Reference!B:B)</f>
        <v>2.5</v>
      </c>
    </row>
    <row r="138" spans="1:9" x14ac:dyDescent="0.25">
      <c r="A138" s="5" t="s">
        <v>175</v>
      </c>
      <c r="B138" s="5" t="s">
        <v>170</v>
      </c>
      <c r="C138" s="5">
        <v>185</v>
      </c>
      <c r="D138" s="5">
        <v>11.7</v>
      </c>
      <c r="E138" s="5">
        <v>27.7</v>
      </c>
      <c r="F138" s="6">
        <v>39.1</v>
      </c>
      <c r="G138" s="5">
        <v>41.2</v>
      </c>
      <c r="H138" s="8">
        <v>75.7</v>
      </c>
      <c r="I138" s="5">
        <f>_xlfn.XLOOKUP(TRIM(B138), Reference!A:A, Reference!B:B)</f>
        <v>2.5</v>
      </c>
    </row>
    <row r="139" spans="1:9" x14ac:dyDescent="0.25">
      <c r="A139" s="5" t="s">
        <v>176</v>
      </c>
      <c r="B139" s="5" t="s">
        <v>170</v>
      </c>
      <c r="C139" s="5">
        <v>188</v>
      </c>
      <c r="D139" s="5">
        <v>11</v>
      </c>
      <c r="E139" s="5">
        <v>27</v>
      </c>
      <c r="F139" s="6">
        <v>37.1</v>
      </c>
      <c r="G139" s="5">
        <v>39.700000000000003</v>
      </c>
      <c r="H139" s="8">
        <v>78.599999999999994</v>
      </c>
      <c r="I139" s="5">
        <f>_xlfn.XLOOKUP(TRIM(B139), Reference!A:A, Reference!B:B)</f>
        <v>2.5</v>
      </c>
    </row>
    <row r="140" spans="1:9" x14ac:dyDescent="0.25">
      <c r="A140" s="5" t="s">
        <v>177</v>
      </c>
      <c r="B140" s="5" t="s">
        <v>170</v>
      </c>
      <c r="C140" s="5">
        <v>190</v>
      </c>
      <c r="D140" s="5">
        <v>12.2</v>
      </c>
      <c r="E140" s="5">
        <v>26.8</v>
      </c>
      <c r="F140" s="6">
        <v>36.5</v>
      </c>
      <c r="G140" s="5">
        <v>43.8</v>
      </c>
      <c r="H140" s="8">
        <v>86.5</v>
      </c>
      <c r="I140" s="5">
        <f>_xlfn.XLOOKUP(TRIM(B140), Reference!A:A, Reference!B:B)</f>
        <v>2.5</v>
      </c>
    </row>
    <row r="141" spans="1:9" x14ac:dyDescent="0.25">
      <c r="A141" s="5" t="s">
        <v>178</v>
      </c>
      <c r="B141" s="5" t="s">
        <v>170</v>
      </c>
      <c r="C141" s="5">
        <v>191</v>
      </c>
      <c r="D141" s="5">
        <v>8.8000000000000007</v>
      </c>
      <c r="E141" s="5">
        <v>25.1</v>
      </c>
      <c r="F141" s="6">
        <v>37.700000000000003</v>
      </c>
      <c r="G141" s="5">
        <v>40.1</v>
      </c>
      <c r="H141" s="8">
        <v>74.599999999999994</v>
      </c>
      <c r="I141" s="5">
        <f>_xlfn.XLOOKUP(TRIM(B141), Reference!A:A, Reference!B:B)</f>
        <v>2.5</v>
      </c>
    </row>
    <row r="142" spans="1:9" x14ac:dyDescent="0.25">
      <c r="A142" s="5" t="s">
        <v>179</v>
      </c>
      <c r="B142" s="5" t="s">
        <v>180</v>
      </c>
      <c r="C142" s="5">
        <v>164</v>
      </c>
      <c r="D142" s="5">
        <v>34.1</v>
      </c>
      <c r="E142" s="5">
        <v>41.5</v>
      </c>
      <c r="F142" s="6">
        <v>40.700000000000003</v>
      </c>
      <c r="G142" s="5">
        <v>47.3</v>
      </c>
      <c r="H142" s="8">
        <v>81.400000000000006</v>
      </c>
      <c r="I142" s="5">
        <f>_xlfn.XLOOKUP(TRIM(B142), Reference!A:A, Reference!B:B)</f>
        <v>2</v>
      </c>
    </row>
    <row r="143" spans="1:9" x14ac:dyDescent="0.25">
      <c r="A143" s="5" t="s">
        <v>181</v>
      </c>
      <c r="B143" s="5" t="s">
        <v>180</v>
      </c>
      <c r="C143" s="5">
        <v>177</v>
      </c>
      <c r="D143" s="5">
        <v>16.7</v>
      </c>
      <c r="E143" s="5">
        <v>31.9</v>
      </c>
      <c r="F143" s="6">
        <v>40.4</v>
      </c>
      <c r="G143" s="5">
        <v>43.4</v>
      </c>
      <c r="H143" s="8">
        <v>53.6</v>
      </c>
      <c r="I143" s="5">
        <f>_xlfn.XLOOKUP(TRIM(B143), Reference!A:A, Reference!B:B)</f>
        <v>2</v>
      </c>
    </row>
    <row r="144" spans="1:9" x14ac:dyDescent="0.25">
      <c r="A144" s="5" t="s">
        <v>182</v>
      </c>
      <c r="B144" s="5" t="s">
        <v>180</v>
      </c>
      <c r="C144" s="5">
        <v>183</v>
      </c>
      <c r="D144" s="5">
        <v>16.2</v>
      </c>
      <c r="E144" s="5">
        <v>29.8</v>
      </c>
      <c r="F144" s="6">
        <v>37.799999999999997</v>
      </c>
      <c r="G144" s="5">
        <v>42.5</v>
      </c>
      <c r="H144" s="8">
        <v>58.5</v>
      </c>
      <c r="I144" s="5">
        <f>_xlfn.XLOOKUP(TRIM(B144), Reference!A:A, Reference!B:B)</f>
        <v>2</v>
      </c>
    </row>
    <row r="145" spans="1:9" x14ac:dyDescent="0.25">
      <c r="A145" s="5" t="s">
        <v>183</v>
      </c>
      <c r="B145" s="5" t="s">
        <v>180</v>
      </c>
      <c r="C145" s="5">
        <v>186</v>
      </c>
      <c r="D145" s="5">
        <v>18.899999999999999</v>
      </c>
      <c r="E145" s="5">
        <v>30.8</v>
      </c>
      <c r="F145" s="6">
        <v>37.4</v>
      </c>
      <c r="G145" s="5">
        <v>37.200000000000003</v>
      </c>
      <c r="H145" s="8">
        <v>74.5</v>
      </c>
      <c r="I145" s="5">
        <f>_xlfn.XLOOKUP(TRIM(B145), Reference!A:A, Reference!B:B)</f>
        <v>2</v>
      </c>
    </row>
    <row r="146" spans="1:9" x14ac:dyDescent="0.25">
      <c r="A146" s="5" t="s">
        <v>184</v>
      </c>
      <c r="B146" s="5" t="s">
        <v>180</v>
      </c>
      <c r="C146" s="5">
        <v>189</v>
      </c>
      <c r="D146" s="5">
        <v>14.5</v>
      </c>
      <c r="E146" s="5">
        <v>28.1</v>
      </c>
      <c r="F146" s="6">
        <v>37.9</v>
      </c>
      <c r="G146" s="5">
        <v>41.4</v>
      </c>
      <c r="H146" s="8">
        <v>57.5</v>
      </c>
      <c r="I146" s="5">
        <f>_xlfn.XLOOKUP(TRIM(B146), Reference!A:A, Reference!B:B)</f>
        <v>2</v>
      </c>
    </row>
    <row r="147" spans="1:9" x14ac:dyDescent="0.25">
      <c r="A147" s="5" t="s">
        <v>185</v>
      </c>
      <c r="B147" s="5" t="s">
        <v>180</v>
      </c>
      <c r="C147" s="5">
        <v>194</v>
      </c>
      <c r="D147" s="5">
        <v>13.2</v>
      </c>
      <c r="E147" s="5">
        <v>26.3</v>
      </c>
      <c r="F147" s="6">
        <v>35.5</v>
      </c>
      <c r="G147" s="5">
        <v>35.200000000000003</v>
      </c>
      <c r="H147" s="8">
        <v>63.1</v>
      </c>
      <c r="I147" s="5">
        <f>_xlfn.XLOOKUP(TRIM(B147), Reference!A:A, Reference!B:B)</f>
        <v>2</v>
      </c>
    </row>
    <row r="148" spans="1:9" x14ac:dyDescent="0.25">
      <c r="A148" s="5" t="s">
        <v>186</v>
      </c>
      <c r="B148" s="5" t="s">
        <v>180</v>
      </c>
      <c r="C148" s="5">
        <v>195</v>
      </c>
      <c r="D148" s="5">
        <v>12.3</v>
      </c>
      <c r="E148" s="5">
        <v>25.9</v>
      </c>
      <c r="F148" s="6">
        <v>35.6</v>
      </c>
      <c r="G148" s="5">
        <v>33.299999999999997</v>
      </c>
      <c r="H148" s="8">
        <v>60.8</v>
      </c>
      <c r="I148" s="5">
        <f>_xlfn.XLOOKUP(TRIM(B148), Reference!A:A, Reference!B:B)</f>
        <v>2</v>
      </c>
    </row>
    <row r="149" spans="1:9" x14ac:dyDescent="0.25">
      <c r="A149" s="5" t="s">
        <v>187</v>
      </c>
      <c r="B149" s="5" t="s">
        <v>180</v>
      </c>
      <c r="C149" s="5">
        <v>196</v>
      </c>
      <c r="D149" s="5">
        <v>11.2</v>
      </c>
      <c r="E149" s="5">
        <v>25.2</v>
      </c>
      <c r="F149" s="6">
        <v>36.6</v>
      </c>
      <c r="G149" s="5">
        <v>34.1</v>
      </c>
      <c r="H149" s="8">
        <v>61.1</v>
      </c>
      <c r="I149" s="5">
        <f>_xlfn.XLOOKUP(TRIM(B149), Reference!A:A, Reference!B:B)</f>
        <v>2</v>
      </c>
    </row>
    <row r="150" spans="1:9" x14ac:dyDescent="0.25">
      <c r="A150" s="5" t="s">
        <v>188</v>
      </c>
      <c r="B150" s="5" t="s">
        <v>180</v>
      </c>
      <c r="C150" s="5">
        <v>198</v>
      </c>
      <c r="D150" s="5">
        <v>10.4</v>
      </c>
      <c r="E150" s="5">
        <v>24.7</v>
      </c>
      <c r="F150" s="6">
        <v>35</v>
      </c>
      <c r="G150" s="5">
        <v>38.299999999999997</v>
      </c>
      <c r="H150" s="8">
        <v>61</v>
      </c>
      <c r="I150" s="5">
        <f>_xlfn.XLOOKUP(TRIM(B150), Reference!A:A, Reference!B:B)</f>
        <v>2</v>
      </c>
    </row>
    <row r="151" spans="1:9" x14ac:dyDescent="0.25">
      <c r="A151" s="5" t="s">
        <v>189</v>
      </c>
      <c r="B151" s="5" t="s">
        <v>180</v>
      </c>
      <c r="C151" s="5">
        <v>199</v>
      </c>
      <c r="D151" s="5">
        <v>11.1</v>
      </c>
      <c r="E151" s="5">
        <v>25</v>
      </c>
      <c r="F151" s="6">
        <v>32</v>
      </c>
      <c r="G151" s="5">
        <v>37.4</v>
      </c>
      <c r="H151" s="8">
        <v>54</v>
      </c>
      <c r="I151" s="5">
        <f>_xlfn.XLOOKUP(TRIM(B151), Reference!A:A, Reference!B:B)</f>
        <v>2</v>
      </c>
    </row>
    <row r="152" spans="1:9" x14ac:dyDescent="0.25">
      <c r="A152" s="5" t="s">
        <v>190</v>
      </c>
      <c r="B152" s="5" t="s">
        <v>180</v>
      </c>
      <c r="C152" s="5">
        <v>200</v>
      </c>
      <c r="D152" s="5">
        <v>12.2</v>
      </c>
      <c r="E152" s="5">
        <v>25.5</v>
      </c>
      <c r="F152" s="6">
        <v>32.5</v>
      </c>
      <c r="G152" s="5">
        <v>35.700000000000003</v>
      </c>
      <c r="H152" s="8">
        <v>61.8</v>
      </c>
      <c r="I152" s="5">
        <f>_xlfn.XLOOKUP(TRIM(B152), Reference!A:A, Reference!B:B)</f>
        <v>2</v>
      </c>
    </row>
    <row r="153" spans="1:9" x14ac:dyDescent="0.25">
      <c r="A153" s="5" t="s">
        <v>191</v>
      </c>
      <c r="B153" s="5" t="s">
        <v>180</v>
      </c>
      <c r="C153" s="5">
        <v>201</v>
      </c>
      <c r="D153" s="5">
        <v>13</v>
      </c>
      <c r="E153" s="5">
        <v>25.8</v>
      </c>
      <c r="F153" s="6">
        <v>33.700000000000003</v>
      </c>
      <c r="G153" s="5">
        <v>38.700000000000003</v>
      </c>
      <c r="H153" s="8">
        <v>58.7</v>
      </c>
      <c r="I153" s="5">
        <f>_xlfn.XLOOKUP(TRIM(B153), Reference!A:A, Reference!B:B)</f>
        <v>2</v>
      </c>
    </row>
    <row r="154" spans="1:9" x14ac:dyDescent="0.25">
      <c r="A154" s="5" t="s">
        <v>192</v>
      </c>
      <c r="B154" s="5" t="s">
        <v>180</v>
      </c>
      <c r="C154" s="5">
        <v>202</v>
      </c>
      <c r="D154" s="5">
        <v>10.7</v>
      </c>
      <c r="E154" s="5">
        <v>24.6</v>
      </c>
      <c r="F154" s="6">
        <v>36.6</v>
      </c>
      <c r="G154" s="5">
        <v>28.7</v>
      </c>
      <c r="H154" s="8">
        <v>57.5</v>
      </c>
      <c r="I154" s="5">
        <f>_xlfn.XLOOKUP(TRIM(B154), Reference!A:A, Reference!B:B)</f>
        <v>2</v>
      </c>
    </row>
    <row r="155" spans="1:9" x14ac:dyDescent="0.25">
      <c r="A155" s="5" t="s">
        <v>193</v>
      </c>
      <c r="B155" s="5" t="s">
        <v>180</v>
      </c>
      <c r="C155" s="5">
        <v>203</v>
      </c>
      <c r="D155" s="5">
        <v>11.3</v>
      </c>
      <c r="E155" s="5">
        <v>24.8</v>
      </c>
      <c r="F155" s="6">
        <v>33.5</v>
      </c>
      <c r="G155" s="5">
        <v>37.6</v>
      </c>
      <c r="H155" s="8">
        <v>65.900000000000006</v>
      </c>
      <c r="I155" s="5">
        <f>_xlfn.XLOOKUP(TRIM(B155), Reference!A:A, Reference!B:B)</f>
        <v>2</v>
      </c>
    </row>
    <row r="156" spans="1:9" x14ac:dyDescent="0.25">
      <c r="A156" s="5" t="s">
        <v>194</v>
      </c>
      <c r="B156" s="5" t="s">
        <v>180</v>
      </c>
      <c r="C156" s="5">
        <v>204</v>
      </c>
      <c r="D156" s="5">
        <v>10.4</v>
      </c>
      <c r="E156" s="5">
        <v>24.3</v>
      </c>
      <c r="F156" s="6">
        <v>34.700000000000003</v>
      </c>
      <c r="G156" s="5">
        <v>32.4</v>
      </c>
      <c r="H156" s="8">
        <v>51.3</v>
      </c>
      <c r="I156" s="5">
        <f>_xlfn.XLOOKUP(TRIM(B156), Reference!A:A, Reference!B:B)</f>
        <v>2</v>
      </c>
    </row>
    <row r="157" spans="1:9" x14ac:dyDescent="0.25">
      <c r="A157" s="5" t="s">
        <v>195</v>
      </c>
      <c r="B157" s="5" t="s">
        <v>180</v>
      </c>
      <c r="C157" s="5">
        <v>206</v>
      </c>
      <c r="D157" s="5">
        <v>11.2</v>
      </c>
      <c r="E157" s="5">
        <v>23.4</v>
      </c>
      <c r="F157" s="6">
        <v>34.200000000000003</v>
      </c>
      <c r="G157" s="5">
        <v>29.5</v>
      </c>
      <c r="H157" s="8">
        <v>64.7</v>
      </c>
      <c r="I157" s="5">
        <f>_xlfn.XLOOKUP(TRIM(B157), Reference!A:A, Reference!B:B)</f>
        <v>2</v>
      </c>
    </row>
    <row r="158" spans="1:9" x14ac:dyDescent="0.25">
      <c r="A158" s="5" t="s">
        <v>196</v>
      </c>
      <c r="B158" s="5" t="s">
        <v>197</v>
      </c>
      <c r="C158" s="5">
        <v>163</v>
      </c>
      <c r="D158" s="5">
        <v>21.5</v>
      </c>
      <c r="E158" s="5">
        <v>36</v>
      </c>
      <c r="F158" s="6">
        <v>42</v>
      </c>
      <c r="G158" s="5">
        <v>52.3</v>
      </c>
      <c r="H158" s="8">
        <v>65</v>
      </c>
      <c r="I158" s="5">
        <f>_xlfn.XLOOKUP(TRIM(B158), Reference!A:A, Reference!B:B)</f>
        <v>2.5</v>
      </c>
    </row>
    <row r="159" spans="1:9" x14ac:dyDescent="0.25">
      <c r="A159" s="5" t="s">
        <v>198</v>
      </c>
      <c r="B159" s="5" t="s">
        <v>197</v>
      </c>
      <c r="C159" s="5">
        <v>173</v>
      </c>
      <c r="D159" s="5">
        <v>14.3</v>
      </c>
      <c r="E159" s="5">
        <v>31.3</v>
      </c>
      <c r="F159" s="6">
        <v>41.3</v>
      </c>
      <c r="G159" s="5">
        <v>45.3</v>
      </c>
      <c r="H159" s="8">
        <v>62.9</v>
      </c>
      <c r="I159" s="5">
        <f>_xlfn.XLOOKUP(TRIM(B159), Reference!A:A, Reference!B:B)</f>
        <v>2.5</v>
      </c>
    </row>
    <row r="160" spans="1:9" x14ac:dyDescent="0.25">
      <c r="A160" s="5" t="s">
        <v>199</v>
      </c>
      <c r="B160" s="5" t="s">
        <v>197</v>
      </c>
      <c r="C160" s="5">
        <v>193</v>
      </c>
      <c r="D160" s="5">
        <v>8.6999999999999993</v>
      </c>
      <c r="E160" s="5">
        <v>24.8</v>
      </c>
      <c r="F160" s="6">
        <v>35.4</v>
      </c>
      <c r="G160" s="5">
        <v>34.9</v>
      </c>
      <c r="H160" s="8">
        <v>67.3</v>
      </c>
      <c r="I160" s="5">
        <f>_xlfn.XLOOKUP(TRIM(B160), Reference!A:A, Reference!B:B)</f>
        <v>2.5</v>
      </c>
    </row>
    <row r="161" spans="1:9" x14ac:dyDescent="0.25">
      <c r="A161" s="5" t="s">
        <v>200</v>
      </c>
      <c r="B161" s="5" t="s">
        <v>201</v>
      </c>
      <c r="C161" s="5">
        <v>135</v>
      </c>
      <c r="D161" s="5">
        <v>22.9</v>
      </c>
      <c r="E161" s="5">
        <v>40.4</v>
      </c>
      <c r="F161" s="6">
        <v>52.9</v>
      </c>
      <c r="G161" s="5">
        <v>49.9</v>
      </c>
      <c r="H161" s="8">
        <v>82.1</v>
      </c>
      <c r="I161" s="5">
        <f>_xlfn.XLOOKUP(TRIM(B161), Reference!A:A, Reference!B:B)</f>
        <v>3</v>
      </c>
    </row>
    <row r="162" spans="1:9" x14ac:dyDescent="0.25">
      <c r="A162" s="5" t="s">
        <v>202</v>
      </c>
      <c r="B162" s="5" t="s">
        <v>201</v>
      </c>
      <c r="C162" s="5">
        <v>145</v>
      </c>
      <c r="D162" s="5">
        <v>23.4</v>
      </c>
      <c r="E162" s="5">
        <v>39.299999999999997</v>
      </c>
      <c r="F162" s="6">
        <v>51.2</v>
      </c>
      <c r="G162" s="5">
        <v>48.7</v>
      </c>
      <c r="H162" s="8">
        <v>75.5</v>
      </c>
      <c r="I162" s="5">
        <f>_xlfn.XLOOKUP(TRIM(B162), Reference!A:A, Reference!B:B)</f>
        <v>3</v>
      </c>
    </row>
    <row r="163" spans="1:9" x14ac:dyDescent="0.25">
      <c r="A163" s="5" t="s">
        <v>203</v>
      </c>
      <c r="B163" s="5" t="s">
        <v>204</v>
      </c>
      <c r="C163" s="5">
        <v>129</v>
      </c>
      <c r="D163" s="5">
        <v>27.2</v>
      </c>
      <c r="E163" s="5">
        <v>44</v>
      </c>
      <c r="F163" s="6">
        <v>52.8</v>
      </c>
      <c r="G163" s="5">
        <v>59</v>
      </c>
      <c r="H163" s="8">
        <v>85</v>
      </c>
      <c r="I163" s="5">
        <f>_xlfn.XLOOKUP(TRIM(B163), Reference!A:A, Reference!B:B)</f>
        <v>3.5</v>
      </c>
    </row>
    <row r="164" spans="1:9" x14ac:dyDescent="0.25">
      <c r="A164" s="5" t="s">
        <v>205</v>
      </c>
      <c r="B164" s="5" t="s">
        <v>206</v>
      </c>
      <c r="C164" s="5">
        <v>118</v>
      </c>
      <c r="D164" s="5">
        <v>36.200000000000003</v>
      </c>
      <c r="E164" s="5">
        <v>49.4</v>
      </c>
      <c r="F164" s="6">
        <v>56.1</v>
      </c>
      <c r="G164" s="5">
        <v>63.4</v>
      </c>
      <c r="H164" s="8">
        <v>104.1</v>
      </c>
      <c r="I164" s="5">
        <f>_xlfn.XLOOKUP(TRIM(B164), Reference!A:A, Reference!B:B)</f>
        <v>4</v>
      </c>
    </row>
    <row r="165" spans="1:9" x14ac:dyDescent="0.25">
      <c r="A165" s="5" t="s">
        <v>207</v>
      </c>
      <c r="B165" s="5" t="s">
        <v>206</v>
      </c>
      <c r="C165" s="5">
        <v>123</v>
      </c>
      <c r="D165" s="5">
        <v>36</v>
      </c>
      <c r="E165" s="5">
        <v>48.9</v>
      </c>
      <c r="F165" s="6">
        <v>56</v>
      </c>
      <c r="G165" s="5">
        <v>63.8</v>
      </c>
      <c r="H165" s="8">
        <v>95.1</v>
      </c>
      <c r="I165" s="5">
        <f>_xlfn.XLOOKUP(TRIM(B165), Reference!A:A, Reference!B:B)</f>
        <v>4</v>
      </c>
    </row>
    <row r="166" spans="1:9" x14ac:dyDescent="0.25">
      <c r="A166" s="5" t="s">
        <v>208</v>
      </c>
      <c r="B166" s="5" t="s">
        <v>206</v>
      </c>
      <c r="C166" s="5">
        <v>125</v>
      </c>
      <c r="D166" s="5">
        <v>32</v>
      </c>
      <c r="E166" s="5">
        <v>47</v>
      </c>
      <c r="F166" s="6">
        <v>52.1</v>
      </c>
      <c r="G166" s="5">
        <v>64.8</v>
      </c>
      <c r="H166" s="8">
        <v>85</v>
      </c>
      <c r="I166" s="5">
        <f>_xlfn.XLOOKUP(TRIM(B166), Reference!A:A, Reference!B:B)</f>
        <v>4</v>
      </c>
    </row>
    <row r="167" spans="1:9" x14ac:dyDescent="0.25">
      <c r="A167" s="5" t="s">
        <v>209</v>
      </c>
      <c r="B167" s="5" t="s">
        <v>206</v>
      </c>
      <c r="C167" s="5">
        <v>134</v>
      </c>
      <c r="D167" s="5">
        <v>26.5</v>
      </c>
      <c r="E167" s="5">
        <v>42</v>
      </c>
      <c r="F167" s="6">
        <v>50.6</v>
      </c>
      <c r="G167" s="5">
        <v>62.1</v>
      </c>
      <c r="H167" s="8">
        <v>106.3</v>
      </c>
      <c r="I167" s="5">
        <f>_xlfn.XLOOKUP(TRIM(B167), Reference!A:A, Reference!B:B)</f>
        <v>4</v>
      </c>
    </row>
    <row r="168" spans="1:9" x14ac:dyDescent="0.25">
      <c r="A168" s="5" t="s">
        <v>210</v>
      </c>
      <c r="B168" s="5" t="s">
        <v>206</v>
      </c>
      <c r="C168" s="5">
        <v>139</v>
      </c>
      <c r="D168" s="5">
        <v>17.7</v>
      </c>
      <c r="E168" s="5">
        <v>37.6</v>
      </c>
      <c r="F168" s="6">
        <v>53.3</v>
      </c>
      <c r="G168" s="5">
        <v>58.4</v>
      </c>
      <c r="H168" s="8">
        <v>111.4</v>
      </c>
      <c r="I168" s="5">
        <f>_xlfn.XLOOKUP(TRIM(B168), Reference!A:A, Reference!B:B)</f>
        <v>4</v>
      </c>
    </row>
    <row r="169" spans="1:9" x14ac:dyDescent="0.25">
      <c r="A169" s="5" t="s">
        <v>211</v>
      </c>
      <c r="B169" s="5" t="s">
        <v>206</v>
      </c>
      <c r="C169" s="5">
        <v>147</v>
      </c>
      <c r="D169" s="5">
        <v>30.6</v>
      </c>
      <c r="E169" s="5">
        <v>42.1</v>
      </c>
      <c r="F169" s="6">
        <v>49.4</v>
      </c>
      <c r="G169" s="5">
        <v>58.3</v>
      </c>
      <c r="H169" s="8">
        <v>84</v>
      </c>
      <c r="I169" s="5">
        <f>_xlfn.XLOOKUP(TRIM(B169), Reference!A:A, Reference!B:B)</f>
        <v>4</v>
      </c>
    </row>
    <row r="170" spans="1:9" x14ac:dyDescent="0.25">
      <c r="A170" s="5" t="s">
        <v>212</v>
      </c>
      <c r="B170" s="5" t="s">
        <v>206</v>
      </c>
      <c r="C170" s="5">
        <v>148</v>
      </c>
      <c r="D170" s="5">
        <v>25.2</v>
      </c>
      <c r="E170" s="5">
        <v>39.6</v>
      </c>
      <c r="F170" s="6">
        <v>52.6</v>
      </c>
      <c r="G170" s="5">
        <v>54.7</v>
      </c>
      <c r="H170" s="8">
        <v>93.9</v>
      </c>
      <c r="I170" s="5">
        <f>_xlfn.XLOOKUP(TRIM(B170), Reference!A:A, Reference!B:B)</f>
        <v>4</v>
      </c>
    </row>
    <row r="171" spans="1:9" x14ac:dyDescent="0.25">
      <c r="A171" s="5" t="s">
        <v>213</v>
      </c>
      <c r="B171" s="5" t="s">
        <v>206</v>
      </c>
      <c r="C171" s="5">
        <v>150</v>
      </c>
      <c r="D171" s="5">
        <v>22.2</v>
      </c>
      <c r="E171" s="5">
        <v>38.1</v>
      </c>
      <c r="F171" s="6">
        <v>51.8</v>
      </c>
      <c r="G171" s="5">
        <v>53.7</v>
      </c>
      <c r="H171" s="8">
        <v>105</v>
      </c>
      <c r="I171" s="5">
        <f>_xlfn.XLOOKUP(TRIM(B171), Reference!A:A, Reference!B:B)</f>
        <v>4</v>
      </c>
    </row>
    <row r="172" spans="1:9" x14ac:dyDescent="0.25">
      <c r="A172" s="5" t="s">
        <v>214</v>
      </c>
      <c r="B172" s="5" t="s">
        <v>206</v>
      </c>
      <c r="C172" s="5">
        <v>152</v>
      </c>
      <c r="D172" s="5">
        <v>28.6</v>
      </c>
      <c r="E172" s="5">
        <v>40.799999999999997</v>
      </c>
      <c r="F172" s="6">
        <v>46.2</v>
      </c>
      <c r="G172" s="5">
        <v>58.9</v>
      </c>
      <c r="H172" s="8">
        <v>111.6</v>
      </c>
      <c r="I172" s="5">
        <f>_xlfn.XLOOKUP(TRIM(B172), Reference!A:A, Reference!B:B)</f>
        <v>4</v>
      </c>
    </row>
    <row r="173" spans="1:9" x14ac:dyDescent="0.25">
      <c r="A173" s="5" t="s">
        <v>215</v>
      </c>
      <c r="B173" s="5" t="s">
        <v>206</v>
      </c>
      <c r="C173" s="5">
        <v>154</v>
      </c>
      <c r="D173" s="5">
        <v>21.8</v>
      </c>
      <c r="E173" s="5">
        <v>37.4</v>
      </c>
      <c r="F173" s="6">
        <v>52.3</v>
      </c>
      <c r="G173" s="5">
        <v>50</v>
      </c>
      <c r="H173" s="8">
        <v>98.8</v>
      </c>
      <c r="I173" s="5">
        <f>_xlfn.XLOOKUP(TRIM(B173), Reference!A:A, Reference!B:B)</f>
        <v>4</v>
      </c>
    </row>
    <row r="174" spans="1:9" x14ac:dyDescent="0.25">
      <c r="A174" s="5" t="s">
        <v>216</v>
      </c>
      <c r="B174" s="5" t="s">
        <v>206</v>
      </c>
      <c r="C174" s="5">
        <v>160</v>
      </c>
      <c r="D174" s="5">
        <v>22.8</v>
      </c>
      <c r="E174" s="5">
        <v>37.5</v>
      </c>
      <c r="F174" s="6">
        <v>53.6</v>
      </c>
      <c r="G174" s="5">
        <v>47.4</v>
      </c>
      <c r="H174" s="8">
        <v>93.8</v>
      </c>
      <c r="I174" s="5">
        <f>_xlfn.XLOOKUP(TRIM(B174), Reference!A:A, Reference!B:B)</f>
        <v>4</v>
      </c>
    </row>
    <row r="175" spans="1:9" x14ac:dyDescent="0.25">
      <c r="A175" s="5" t="s">
        <v>217</v>
      </c>
      <c r="B175" s="5" t="s">
        <v>206</v>
      </c>
      <c r="C175" s="5">
        <v>161</v>
      </c>
      <c r="D175" s="5">
        <v>18.600000000000001</v>
      </c>
      <c r="E175" s="5">
        <v>35.4</v>
      </c>
      <c r="F175" s="6">
        <v>47.1</v>
      </c>
      <c r="G175" s="5">
        <v>49.9</v>
      </c>
      <c r="H175" s="8">
        <v>108.1</v>
      </c>
      <c r="I175" s="5">
        <f>_xlfn.XLOOKUP(TRIM(B175), Reference!A:A, Reference!B:B)</f>
        <v>4</v>
      </c>
    </row>
    <row r="176" spans="1:9" x14ac:dyDescent="0.25">
      <c r="A176" s="5" t="s">
        <v>218</v>
      </c>
      <c r="B176" s="5" t="s">
        <v>219</v>
      </c>
      <c r="C176" s="5">
        <v>19</v>
      </c>
      <c r="D176" s="5">
        <v>36.1</v>
      </c>
      <c r="E176" s="5">
        <v>59.7</v>
      </c>
      <c r="F176" s="6">
        <v>72.8</v>
      </c>
      <c r="G176" s="5">
        <v>82</v>
      </c>
      <c r="H176" s="8">
        <v>116.9</v>
      </c>
      <c r="I176" s="5">
        <f>_xlfn.XLOOKUP(TRIM(B176), Reference!A:A, Reference!B:B)</f>
        <v>7.5</v>
      </c>
    </row>
    <row r="177" spans="1:9" x14ac:dyDescent="0.25">
      <c r="A177" s="5" t="s">
        <v>220</v>
      </c>
      <c r="B177" s="5" t="s">
        <v>219</v>
      </c>
      <c r="C177" s="5">
        <v>66</v>
      </c>
      <c r="D177" s="5">
        <v>26.4</v>
      </c>
      <c r="E177" s="5">
        <v>50.4</v>
      </c>
      <c r="F177" s="6">
        <v>72.2</v>
      </c>
      <c r="G177" s="5">
        <v>72.8</v>
      </c>
      <c r="H177" s="8">
        <v>129.5</v>
      </c>
      <c r="I177" s="5">
        <f>_xlfn.XLOOKUP(TRIM(B177), Reference!A:A, Reference!B:B)</f>
        <v>7.5</v>
      </c>
    </row>
    <row r="178" spans="1:9" x14ac:dyDescent="0.25">
      <c r="A178" s="5" t="s">
        <v>221</v>
      </c>
      <c r="B178" s="5" t="s">
        <v>219</v>
      </c>
      <c r="C178" s="5">
        <v>75</v>
      </c>
      <c r="D178" s="5">
        <v>25.4</v>
      </c>
      <c r="E178" s="5">
        <v>49.4</v>
      </c>
      <c r="F178" s="6">
        <v>68</v>
      </c>
      <c r="G178" s="5">
        <v>76.5</v>
      </c>
      <c r="H178" s="8">
        <v>154.69999999999999</v>
      </c>
      <c r="I178" s="5">
        <f>_xlfn.XLOOKUP(TRIM(B178), Reference!A:A, Reference!B:B)</f>
        <v>7.5</v>
      </c>
    </row>
    <row r="179" spans="1:9" x14ac:dyDescent="0.25">
      <c r="A179" s="5" t="s">
        <v>222</v>
      </c>
      <c r="B179" s="5" t="s">
        <v>219</v>
      </c>
      <c r="C179" s="5">
        <v>79</v>
      </c>
      <c r="D179" s="5">
        <v>22.6</v>
      </c>
      <c r="E179" s="5">
        <v>48.1</v>
      </c>
      <c r="F179" s="6">
        <v>70.599999999999994</v>
      </c>
      <c r="G179" s="5">
        <v>70.400000000000006</v>
      </c>
      <c r="H179" s="8">
        <v>128.4</v>
      </c>
      <c r="I179" s="5">
        <f>_xlfn.XLOOKUP(TRIM(B179), Reference!A:A, Reference!B:B)</f>
        <v>7.5</v>
      </c>
    </row>
    <row r="180" spans="1:9" x14ac:dyDescent="0.25">
      <c r="A180" s="5" t="s">
        <v>223</v>
      </c>
      <c r="B180" s="5" t="s">
        <v>219</v>
      </c>
      <c r="C180" s="5">
        <v>103</v>
      </c>
      <c r="D180" s="5">
        <v>23.9</v>
      </c>
      <c r="E180" s="5">
        <v>47</v>
      </c>
      <c r="F180" s="6">
        <v>68.2</v>
      </c>
      <c r="G180" s="5">
        <v>69.7</v>
      </c>
      <c r="H180" s="8">
        <v>134.1</v>
      </c>
      <c r="I180" s="5">
        <f>_xlfn.XLOOKUP(TRIM(B180), Reference!A:A, Reference!B:B)</f>
        <v>7.5</v>
      </c>
    </row>
    <row r="181" spans="1:9" x14ac:dyDescent="0.25">
      <c r="A181" s="5" t="s">
        <v>224</v>
      </c>
      <c r="B181" s="5" t="s">
        <v>225</v>
      </c>
      <c r="C181" s="5">
        <v>1</v>
      </c>
      <c r="D181" s="5">
        <v>70.599999999999994</v>
      </c>
      <c r="E181" s="5">
        <v>97.1</v>
      </c>
      <c r="F181" s="6">
        <v>115.4</v>
      </c>
      <c r="G181" s="5">
        <v>121</v>
      </c>
      <c r="H181" s="8">
        <v>164.4</v>
      </c>
      <c r="I181" s="5">
        <f>_xlfn.XLOOKUP(TRIM(B181), Reference!A:A, Reference!B:B)</f>
        <v>9</v>
      </c>
    </row>
    <row r="182" spans="1:9" x14ac:dyDescent="0.25">
      <c r="A182" s="5" t="s">
        <v>226</v>
      </c>
      <c r="B182" s="5" t="s">
        <v>225</v>
      </c>
      <c r="C182" s="5">
        <v>2</v>
      </c>
      <c r="D182" s="5">
        <v>65.099999999999994</v>
      </c>
      <c r="E182" s="5">
        <v>93.6</v>
      </c>
      <c r="F182" s="6">
        <v>114.3</v>
      </c>
      <c r="G182" s="5">
        <v>121.8</v>
      </c>
      <c r="H182" s="8">
        <v>158.5</v>
      </c>
      <c r="I182" s="5">
        <f>_xlfn.XLOOKUP(TRIM(B182), Reference!A:A, Reference!B:B)</f>
        <v>9</v>
      </c>
    </row>
    <row r="183" spans="1:9" x14ac:dyDescent="0.25">
      <c r="A183" s="5" t="s">
        <v>227</v>
      </c>
      <c r="B183" s="5" t="s">
        <v>225</v>
      </c>
      <c r="C183" s="5">
        <v>3</v>
      </c>
      <c r="D183" s="5">
        <v>49.6</v>
      </c>
      <c r="E183" s="5">
        <v>84.4</v>
      </c>
      <c r="F183" s="6">
        <v>110.4</v>
      </c>
      <c r="G183" s="5">
        <v>114.9</v>
      </c>
      <c r="H183" s="8">
        <v>183.7</v>
      </c>
      <c r="I183" s="5">
        <f>_xlfn.XLOOKUP(TRIM(B183), Reference!A:A, Reference!B:B)</f>
        <v>9</v>
      </c>
    </row>
    <row r="184" spans="1:9" x14ac:dyDescent="0.25">
      <c r="A184" s="5" t="s">
        <v>228</v>
      </c>
      <c r="B184" s="5" t="s">
        <v>225</v>
      </c>
      <c r="C184" s="5">
        <v>4</v>
      </c>
      <c r="D184" s="5">
        <v>55</v>
      </c>
      <c r="E184" s="5">
        <v>86.3</v>
      </c>
      <c r="F184" s="6">
        <v>108.9</v>
      </c>
      <c r="G184" s="5">
        <v>116.2</v>
      </c>
      <c r="H184" s="8">
        <v>163.69999999999999</v>
      </c>
      <c r="I184" s="5">
        <f>_xlfn.XLOOKUP(TRIM(B184), Reference!A:A, Reference!B:B)</f>
        <v>9</v>
      </c>
    </row>
    <row r="185" spans="1:9" x14ac:dyDescent="0.25">
      <c r="A185" s="5" t="s">
        <v>229</v>
      </c>
      <c r="B185" s="5" t="s">
        <v>225</v>
      </c>
      <c r="C185" s="5">
        <v>5</v>
      </c>
      <c r="D185" s="5">
        <v>47</v>
      </c>
      <c r="E185" s="5">
        <v>81.900000000000006</v>
      </c>
      <c r="F185" s="6">
        <v>107.3</v>
      </c>
      <c r="G185" s="5">
        <v>125.3</v>
      </c>
      <c r="H185" s="8">
        <v>153.6</v>
      </c>
      <c r="I185" s="5">
        <f>_xlfn.XLOOKUP(TRIM(B185), Reference!A:A, Reference!B:B)</f>
        <v>9</v>
      </c>
    </row>
    <row r="186" spans="1:9" x14ac:dyDescent="0.25">
      <c r="A186" s="5" t="s">
        <v>230</v>
      </c>
      <c r="B186" s="5" t="s">
        <v>225</v>
      </c>
      <c r="C186" s="5">
        <v>6</v>
      </c>
      <c r="D186" s="5">
        <v>46.8</v>
      </c>
      <c r="E186" s="5">
        <v>81.8</v>
      </c>
      <c r="F186" s="6">
        <v>107.3</v>
      </c>
      <c r="G186" s="5">
        <v>110.2</v>
      </c>
      <c r="H186" s="8">
        <v>174.4</v>
      </c>
      <c r="I186" s="5">
        <f>_xlfn.XLOOKUP(TRIM(B186), Reference!A:A, Reference!B:B)</f>
        <v>9</v>
      </c>
    </row>
    <row r="187" spans="1:9" x14ac:dyDescent="0.25">
      <c r="A187" s="5" t="s">
        <v>231</v>
      </c>
      <c r="B187" s="5" t="s">
        <v>232</v>
      </c>
      <c r="C187" s="5">
        <v>208</v>
      </c>
      <c r="D187" s="5">
        <v>13.7</v>
      </c>
      <c r="E187" s="5">
        <v>23.8</v>
      </c>
      <c r="F187" s="6">
        <v>32.200000000000003</v>
      </c>
      <c r="G187" s="5">
        <v>31</v>
      </c>
      <c r="H187" s="8">
        <v>58.7</v>
      </c>
      <c r="I187" s="5">
        <f>_xlfn.XLOOKUP(TRIM(B187), Reference!A:A, Reference!B:B)</f>
        <v>1.5</v>
      </c>
    </row>
    <row r="188" spans="1:9" x14ac:dyDescent="0.25">
      <c r="A188" s="5" t="s">
        <v>233</v>
      </c>
      <c r="B188" s="5" t="s">
        <v>232</v>
      </c>
      <c r="C188" s="5">
        <v>209</v>
      </c>
      <c r="D188" s="5">
        <v>10.3</v>
      </c>
      <c r="E188" s="5">
        <v>21.8</v>
      </c>
      <c r="F188" s="6">
        <v>28.7</v>
      </c>
      <c r="G188" s="5">
        <v>36.6</v>
      </c>
      <c r="H188" s="8">
        <v>44.3</v>
      </c>
      <c r="I188" s="5">
        <f>_xlfn.XLOOKUP(TRIM(B188), Reference!A:A, Reference!B:B)</f>
        <v>1.5</v>
      </c>
    </row>
    <row r="189" spans="1:9" x14ac:dyDescent="0.25">
      <c r="A189" s="5" t="s">
        <v>234</v>
      </c>
      <c r="B189" s="5" t="s">
        <v>232</v>
      </c>
      <c r="C189" s="5">
        <v>210</v>
      </c>
      <c r="D189" s="5">
        <v>7</v>
      </c>
      <c r="E189" s="5">
        <v>19.600000000000001</v>
      </c>
      <c r="F189" s="6">
        <v>29.5</v>
      </c>
      <c r="G189" s="5">
        <v>28.5</v>
      </c>
      <c r="H189" s="8">
        <v>46.2</v>
      </c>
      <c r="I189" s="5">
        <f>_xlfn.XLOOKUP(TRIM(B189), Reference!A:A, Reference!B:B)</f>
        <v>1.5</v>
      </c>
    </row>
    <row r="190" spans="1:9" x14ac:dyDescent="0.25">
      <c r="A190" s="5" t="s">
        <v>235</v>
      </c>
      <c r="B190" s="5" t="s">
        <v>232</v>
      </c>
      <c r="C190" s="5">
        <v>211</v>
      </c>
      <c r="D190" s="5">
        <v>11</v>
      </c>
      <c r="E190" s="5">
        <v>21.2</v>
      </c>
      <c r="F190" s="6">
        <v>29.6</v>
      </c>
      <c r="G190" s="5">
        <v>27.4</v>
      </c>
      <c r="H190" s="8">
        <v>53.9</v>
      </c>
      <c r="I190" s="5">
        <f>_xlfn.XLOOKUP(TRIM(B190), Reference!A:A, Reference!B:B)</f>
        <v>1.5</v>
      </c>
    </row>
    <row r="191" spans="1:9" x14ac:dyDescent="0.25">
      <c r="A191" s="5" t="s">
        <v>236</v>
      </c>
      <c r="B191" s="5" t="s">
        <v>232</v>
      </c>
      <c r="C191" s="5">
        <v>213</v>
      </c>
      <c r="D191" s="5">
        <v>5.5</v>
      </c>
      <c r="E191" s="5">
        <v>17.3</v>
      </c>
      <c r="F191" s="6">
        <v>27.3</v>
      </c>
      <c r="G191" s="5">
        <v>24.8</v>
      </c>
      <c r="H191" s="8">
        <v>51.7</v>
      </c>
      <c r="I191" s="5">
        <f>_xlfn.XLOOKUP(TRIM(B191), Reference!A:A, Reference!B:B)</f>
        <v>1.5</v>
      </c>
    </row>
    <row r="192" spans="1:9" x14ac:dyDescent="0.25">
      <c r="A192" s="5" t="s">
        <v>237</v>
      </c>
      <c r="B192" s="5" t="s">
        <v>238</v>
      </c>
      <c r="C192" s="5">
        <v>9</v>
      </c>
      <c r="D192" s="5">
        <v>70.099999999999994</v>
      </c>
      <c r="E192" s="5">
        <v>79.7</v>
      </c>
      <c r="F192" s="6">
        <v>68.900000000000006</v>
      </c>
      <c r="G192" s="5">
        <v>89.7</v>
      </c>
      <c r="H192" s="8">
        <v>117.5</v>
      </c>
      <c r="I192" s="5">
        <f>_xlfn.XLOOKUP(TRIM(B192), Reference!A:A, Reference!B:B)</f>
        <v>6.8</v>
      </c>
    </row>
    <row r="193" spans="1:9" x14ac:dyDescent="0.25">
      <c r="A193" s="5" t="s">
        <v>239</v>
      </c>
      <c r="B193" s="5" t="s">
        <v>238</v>
      </c>
      <c r="C193" s="5">
        <v>25</v>
      </c>
      <c r="D193" s="5">
        <v>47.9</v>
      </c>
      <c r="E193" s="5">
        <v>63.6</v>
      </c>
      <c r="F193" s="6">
        <v>68</v>
      </c>
      <c r="G193" s="5">
        <v>88.8</v>
      </c>
      <c r="H193" s="8">
        <v>113.5</v>
      </c>
      <c r="I193" s="5">
        <f>_xlfn.XLOOKUP(TRIM(B193), Reference!A:A, Reference!B:B)</f>
        <v>6.8</v>
      </c>
    </row>
    <row r="194" spans="1:9" x14ac:dyDescent="0.25">
      <c r="A194" s="5" t="s">
        <v>240</v>
      </c>
      <c r="B194" s="5" t="s">
        <v>238</v>
      </c>
      <c r="C194" s="5">
        <v>27</v>
      </c>
      <c r="D194" s="5">
        <v>42.4</v>
      </c>
      <c r="E194" s="5">
        <v>60.7</v>
      </c>
      <c r="F194" s="6">
        <v>71.5</v>
      </c>
      <c r="G194" s="5">
        <v>76.7</v>
      </c>
      <c r="H194" s="8">
        <v>120</v>
      </c>
      <c r="I194" s="5">
        <f>_xlfn.XLOOKUP(TRIM(B194), Reference!A:A, Reference!B:B)</f>
        <v>6.8</v>
      </c>
    </row>
    <row r="195" spans="1:9" x14ac:dyDescent="0.25">
      <c r="A195" s="5" t="s">
        <v>241</v>
      </c>
      <c r="B195" s="5" t="s">
        <v>238</v>
      </c>
      <c r="C195" s="5">
        <v>30</v>
      </c>
      <c r="D195" s="5">
        <v>42.9</v>
      </c>
      <c r="E195" s="5">
        <v>60.4</v>
      </c>
      <c r="F195" s="6">
        <v>67.7</v>
      </c>
      <c r="G195" s="5">
        <v>79.900000000000006</v>
      </c>
      <c r="H195" s="8">
        <v>111.1</v>
      </c>
      <c r="I195" s="5">
        <f>_xlfn.XLOOKUP(TRIM(B195), Reference!A:A, Reference!B:B)</f>
        <v>6.8</v>
      </c>
    </row>
    <row r="196" spans="1:9" x14ac:dyDescent="0.25">
      <c r="A196" s="5" t="s">
        <v>242</v>
      </c>
      <c r="B196" s="5" t="s">
        <v>238</v>
      </c>
      <c r="C196" s="5">
        <v>34</v>
      </c>
      <c r="D196" s="5">
        <v>45.5</v>
      </c>
      <c r="E196" s="5">
        <v>61.3</v>
      </c>
      <c r="F196" s="6">
        <v>66.400000000000006</v>
      </c>
      <c r="G196" s="5">
        <v>82.8</v>
      </c>
      <c r="H196" s="8">
        <v>124</v>
      </c>
      <c r="I196" s="5">
        <f>_xlfn.XLOOKUP(TRIM(B196), Reference!A:A, Reference!B:B)</f>
        <v>6.8</v>
      </c>
    </row>
    <row r="197" spans="1:9" x14ac:dyDescent="0.25">
      <c r="A197" s="5" t="s">
        <v>243</v>
      </c>
      <c r="B197" s="5" t="s">
        <v>238</v>
      </c>
      <c r="C197" s="5">
        <v>43</v>
      </c>
      <c r="D197" s="5">
        <v>37.9</v>
      </c>
      <c r="E197" s="5">
        <v>57.3</v>
      </c>
      <c r="F197" s="6">
        <v>65.599999999999994</v>
      </c>
      <c r="G197" s="5">
        <v>84.2</v>
      </c>
      <c r="H197" s="8">
        <v>118.6</v>
      </c>
      <c r="I197" s="5">
        <f>_xlfn.XLOOKUP(TRIM(B197), Reference!A:A, Reference!B:B)</f>
        <v>6.8</v>
      </c>
    </row>
    <row r="198" spans="1:9" x14ac:dyDescent="0.25">
      <c r="A198" s="5" t="s">
        <v>244</v>
      </c>
      <c r="B198" s="5" t="s">
        <v>238</v>
      </c>
      <c r="C198" s="5">
        <v>55</v>
      </c>
      <c r="D198" s="5">
        <v>40.4</v>
      </c>
      <c r="E198" s="5">
        <v>57.5</v>
      </c>
      <c r="F198" s="6">
        <v>62.5</v>
      </c>
      <c r="G198" s="5">
        <v>83.7</v>
      </c>
      <c r="H198" s="8">
        <v>124.1</v>
      </c>
      <c r="I198" s="5">
        <f>_xlfn.XLOOKUP(TRIM(B198), Reference!A:A, Reference!B:B)</f>
        <v>6.8</v>
      </c>
    </row>
    <row r="199" spans="1:9" x14ac:dyDescent="0.25">
      <c r="A199" s="5" t="s">
        <v>245</v>
      </c>
      <c r="B199" s="5" t="s">
        <v>238</v>
      </c>
      <c r="C199" s="5">
        <v>58</v>
      </c>
      <c r="D199" s="5">
        <v>42.2</v>
      </c>
      <c r="E199" s="5">
        <v>58.2</v>
      </c>
      <c r="F199" s="6">
        <v>65.8</v>
      </c>
      <c r="G199" s="5">
        <v>79.900000000000006</v>
      </c>
      <c r="H199" s="8">
        <v>113.8</v>
      </c>
      <c r="I199" s="5">
        <f>_xlfn.XLOOKUP(TRIM(B199), Reference!A:A, Reference!B:B)</f>
        <v>6.8</v>
      </c>
    </row>
    <row r="200" spans="1:9" x14ac:dyDescent="0.25">
      <c r="A200" s="5" t="s">
        <v>246</v>
      </c>
      <c r="B200" s="5" t="s">
        <v>238</v>
      </c>
      <c r="C200" s="5">
        <v>61</v>
      </c>
      <c r="D200" s="5">
        <v>34.6</v>
      </c>
      <c r="E200" s="5">
        <v>54.4</v>
      </c>
      <c r="F200" s="6">
        <v>64</v>
      </c>
      <c r="G200" s="5">
        <v>82.8</v>
      </c>
      <c r="H200" s="8">
        <v>119.1</v>
      </c>
      <c r="I200" s="5">
        <f>_xlfn.XLOOKUP(TRIM(B200), Reference!A:A, Reference!B:B)</f>
        <v>6.8</v>
      </c>
    </row>
    <row r="201" spans="1:9" x14ac:dyDescent="0.25">
      <c r="A201" s="5" t="s">
        <v>247</v>
      </c>
      <c r="B201" s="5" t="s">
        <v>238</v>
      </c>
      <c r="C201" s="5">
        <v>64</v>
      </c>
      <c r="D201" s="5">
        <v>40.1</v>
      </c>
      <c r="E201" s="5">
        <v>56.7</v>
      </c>
      <c r="F201" s="6">
        <v>67.8</v>
      </c>
      <c r="G201" s="5">
        <v>75.3</v>
      </c>
      <c r="H201" s="8">
        <v>114.1</v>
      </c>
      <c r="I201" s="5">
        <f>_xlfn.XLOOKUP(TRIM(B201), Reference!A:A, Reference!B:B)</f>
        <v>6.8</v>
      </c>
    </row>
    <row r="202" spans="1:9" x14ac:dyDescent="0.25">
      <c r="A202" s="5" t="s">
        <v>248</v>
      </c>
      <c r="B202" s="5" t="s">
        <v>238</v>
      </c>
      <c r="C202" s="5">
        <v>77</v>
      </c>
      <c r="D202" s="5">
        <v>30.8</v>
      </c>
      <c r="E202" s="5">
        <v>51.7</v>
      </c>
      <c r="F202" s="6">
        <v>64.7</v>
      </c>
      <c r="G202" s="5">
        <v>69.7</v>
      </c>
      <c r="H202" s="8">
        <v>124.5</v>
      </c>
      <c r="I202" s="5">
        <f>_xlfn.XLOOKUP(TRIM(B202), Reference!A:A, Reference!B:B)</f>
        <v>6.8</v>
      </c>
    </row>
    <row r="203" spans="1:9" x14ac:dyDescent="0.25">
      <c r="A203" s="5" t="s">
        <v>249</v>
      </c>
      <c r="B203" s="5" t="s">
        <v>238</v>
      </c>
      <c r="C203" s="5">
        <v>80</v>
      </c>
      <c r="D203" s="5">
        <v>31.1</v>
      </c>
      <c r="E203" s="5">
        <v>51.8</v>
      </c>
      <c r="F203" s="6">
        <v>66.7</v>
      </c>
      <c r="G203" s="5">
        <v>71.2</v>
      </c>
      <c r="H203" s="8">
        <v>116.4</v>
      </c>
      <c r="I203" s="5">
        <f>_xlfn.XLOOKUP(TRIM(B203), Reference!A:A, Reference!B:B)</f>
        <v>6.8</v>
      </c>
    </row>
    <row r="204" spans="1:9" x14ac:dyDescent="0.25">
      <c r="A204" s="5" t="s">
        <v>250</v>
      </c>
      <c r="B204" s="5" t="s">
        <v>238</v>
      </c>
      <c r="C204" s="5">
        <v>85</v>
      </c>
      <c r="D204" s="5">
        <v>33.799999999999997</v>
      </c>
      <c r="E204" s="5">
        <v>52.7</v>
      </c>
      <c r="F204" s="6">
        <v>64.3</v>
      </c>
      <c r="G204" s="5">
        <v>72.2</v>
      </c>
      <c r="H204" s="8">
        <v>124.7</v>
      </c>
      <c r="I204" s="5">
        <f>_xlfn.XLOOKUP(TRIM(B204), Reference!A:A, Reference!B:B)</f>
        <v>6.8</v>
      </c>
    </row>
    <row r="205" spans="1:9" x14ac:dyDescent="0.25">
      <c r="A205" s="5" t="s">
        <v>251</v>
      </c>
      <c r="B205" s="5" t="s">
        <v>238</v>
      </c>
      <c r="C205" s="5">
        <v>86</v>
      </c>
      <c r="D205" s="5">
        <v>27.9</v>
      </c>
      <c r="E205" s="5">
        <v>49.9</v>
      </c>
      <c r="F205" s="6">
        <v>62.3</v>
      </c>
      <c r="G205" s="5">
        <v>77.400000000000006</v>
      </c>
      <c r="H205" s="8">
        <v>148.30000000000001</v>
      </c>
      <c r="I205" s="5">
        <f>_xlfn.XLOOKUP(TRIM(B205), Reference!A:A, Reference!B:B)</f>
        <v>6.8</v>
      </c>
    </row>
    <row r="206" spans="1:9" x14ac:dyDescent="0.25">
      <c r="A206" s="5" t="s">
        <v>252</v>
      </c>
      <c r="B206" s="5" t="s">
        <v>238</v>
      </c>
      <c r="C206" s="5">
        <v>88</v>
      </c>
      <c r="D206" s="5">
        <v>35.6</v>
      </c>
      <c r="E206" s="5">
        <v>53.2</v>
      </c>
      <c r="F206" s="6">
        <v>59.4</v>
      </c>
      <c r="G206" s="5">
        <v>70.900000000000006</v>
      </c>
      <c r="H206" s="8">
        <v>123.4</v>
      </c>
      <c r="I206" s="5">
        <f>_xlfn.XLOOKUP(TRIM(B206), Reference!A:A, Reference!B:B)</f>
        <v>6.8</v>
      </c>
    </row>
    <row r="207" spans="1:9" x14ac:dyDescent="0.25">
      <c r="A207" s="5" t="s">
        <v>253</v>
      </c>
      <c r="B207" s="5" t="s">
        <v>238</v>
      </c>
      <c r="C207" s="5">
        <v>90</v>
      </c>
      <c r="D207" s="5">
        <v>32.700000000000003</v>
      </c>
      <c r="E207" s="5">
        <v>51.8</v>
      </c>
      <c r="F207" s="6">
        <v>61.8</v>
      </c>
      <c r="G207" s="5">
        <v>81.599999999999994</v>
      </c>
      <c r="H207" s="8">
        <v>124.3</v>
      </c>
      <c r="I207" s="5">
        <f>_xlfn.XLOOKUP(TRIM(B207), Reference!A:A, Reference!B:B)</f>
        <v>6.8</v>
      </c>
    </row>
    <row r="208" spans="1:9" x14ac:dyDescent="0.25">
      <c r="A208" s="5" t="s">
        <v>254</v>
      </c>
      <c r="B208" s="5" t="s">
        <v>238</v>
      </c>
      <c r="C208" s="5">
        <v>91</v>
      </c>
      <c r="D208" s="5">
        <v>32.1</v>
      </c>
      <c r="E208" s="5">
        <v>51.4</v>
      </c>
      <c r="F208" s="6">
        <v>66.2</v>
      </c>
      <c r="G208" s="5">
        <v>72.599999999999994</v>
      </c>
      <c r="H208" s="8">
        <v>119.4</v>
      </c>
      <c r="I208" s="5">
        <f>_xlfn.XLOOKUP(TRIM(B208), Reference!A:A, Reference!B:B)</f>
        <v>6.8</v>
      </c>
    </row>
    <row r="209" spans="1:9" x14ac:dyDescent="0.25">
      <c r="A209" s="5" t="s">
        <v>255</v>
      </c>
      <c r="B209" s="5" t="s">
        <v>238</v>
      </c>
      <c r="C209" s="5">
        <v>92</v>
      </c>
      <c r="D209" s="5">
        <v>36.200000000000003</v>
      </c>
      <c r="E209" s="5">
        <v>53.3</v>
      </c>
      <c r="F209" s="6">
        <v>58</v>
      </c>
      <c r="G209" s="5">
        <v>73.599999999999994</v>
      </c>
      <c r="H209" s="8">
        <v>116.4</v>
      </c>
      <c r="I209" s="5">
        <f>_xlfn.XLOOKUP(TRIM(B209), Reference!A:A, Reference!B:B)</f>
        <v>6.8</v>
      </c>
    </row>
    <row r="210" spans="1:9" x14ac:dyDescent="0.25">
      <c r="A210" s="5" t="s">
        <v>256</v>
      </c>
      <c r="B210" s="5" t="s">
        <v>238</v>
      </c>
      <c r="C210" s="5">
        <v>98</v>
      </c>
      <c r="D210" s="5">
        <v>27.6</v>
      </c>
      <c r="E210" s="5">
        <v>48.9</v>
      </c>
      <c r="F210" s="6">
        <v>60.8</v>
      </c>
      <c r="G210" s="5">
        <v>75.599999999999994</v>
      </c>
      <c r="H210" s="8">
        <v>127.2</v>
      </c>
      <c r="I210" s="5">
        <f>_xlfn.XLOOKUP(TRIM(B210), Reference!A:A, Reference!B:B)</f>
        <v>6.8</v>
      </c>
    </row>
    <row r="211" spans="1:9" x14ac:dyDescent="0.25">
      <c r="A211" s="5" t="s">
        <v>257</v>
      </c>
      <c r="B211" s="5" t="s">
        <v>238</v>
      </c>
      <c r="C211" s="5">
        <v>99</v>
      </c>
      <c r="D211" s="5">
        <v>26.7</v>
      </c>
      <c r="E211" s="5">
        <v>48.4</v>
      </c>
      <c r="F211" s="6">
        <v>67.5</v>
      </c>
      <c r="G211" s="5">
        <v>74.599999999999994</v>
      </c>
      <c r="H211" s="8">
        <v>113.4</v>
      </c>
      <c r="I211" s="5">
        <f>_xlfn.XLOOKUP(TRIM(B211), Reference!A:A, Reference!B:B)</f>
        <v>6.8</v>
      </c>
    </row>
    <row r="212" spans="1:9" x14ac:dyDescent="0.25">
      <c r="A212" s="5" t="s">
        <v>258</v>
      </c>
      <c r="B212" s="5" t="s">
        <v>238</v>
      </c>
      <c r="C212" s="5">
        <v>104</v>
      </c>
      <c r="D212" s="5">
        <v>26.3</v>
      </c>
      <c r="E212" s="5">
        <v>47.9</v>
      </c>
      <c r="F212" s="6">
        <v>64.8</v>
      </c>
      <c r="G212" s="5">
        <v>66.400000000000006</v>
      </c>
      <c r="H212" s="8">
        <v>129.19999999999999</v>
      </c>
      <c r="I212" s="5">
        <f>_xlfn.XLOOKUP(TRIM(B212), Reference!A:A, Reference!B:B)</f>
        <v>6.8</v>
      </c>
    </row>
    <row r="213" spans="1:9" x14ac:dyDescent="0.25">
      <c r="A213" s="5" t="s">
        <v>259</v>
      </c>
      <c r="B213" s="5" t="s">
        <v>238</v>
      </c>
      <c r="C213" s="5">
        <v>105</v>
      </c>
      <c r="D213" s="5">
        <v>30.6</v>
      </c>
      <c r="E213" s="5">
        <v>49.5</v>
      </c>
      <c r="F213" s="6">
        <v>66.099999999999994</v>
      </c>
      <c r="G213" s="5">
        <v>68.900000000000006</v>
      </c>
      <c r="H213" s="8">
        <v>133.9</v>
      </c>
      <c r="I213" s="5">
        <f>_xlfn.XLOOKUP(TRIM(B213), Reference!A:A, Reference!B:B)</f>
        <v>6.8</v>
      </c>
    </row>
    <row r="214" spans="1:9" x14ac:dyDescent="0.25">
      <c r="A214" s="5" t="s">
        <v>260</v>
      </c>
      <c r="B214" s="5" t="s">
        <v>238</v>
      </c>
      <c r="C214" s="5">
        <v>111</v>
      </c>
      <c r="D214" s="5">
        <v>26.3</v>
      </c>
      <c r="E214" s="5">
        <v>46.7</v>
      </c>
      <c r="F214" s="6">
        <v>56.3</v>
      </c>
      <c r="G214" s="5">
        <v>68.400000000000006</v>
      </c>
      <c r="H214" s="8">
        <v>132.69999999999999</v>
      </c>
      <c r="I214" s="5">
        <f>_xlfn.XLOOKUP(TRIM(B214), Reference!A:A, Reference!B:B)</f>
        <v>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AF8E-3E4F-494A-83C4-B0E880CD7622}">
  <dimension ref="A1:B41"/>
  <sheetViews>
    <sheetView workbookViewId="0">
      <selection activeCell="A2" sqref="A2"/>
    </sheetView>
  </sheetViews>
  <sheetFormatPr defaultRowHeight="13.8" x14ac:dyDescent="0.25"/>
  <cols>
    <col min="1" max="1" width="12" customWidth="1"/>
    <col min="2" max="2" width="14" customWidth="1"/>
  </cols>
  <sheetData>
    <row r="1" spans="1:2" x14ac:dyDescent="0.25">
      <c r="A1" t="s">
        <v>1</v>
      </c>
      <c r="B1" t="s">
        <v>261</v>
      </c>
    </row>
    <row r="2" spans="1:2" x14ac:dyDescent="0.25">
      <c r="A2" t="s">
        <v>262</v>
      </c>
      <c r="B2">
        <v>9</v>
      </c>
    </row>
    <row r="3" spans="1:2" x14ac:dyDescent="0.25">
      <c r="A3" t="s">
        <v>263</v>
      </c>
      <c r="B3">
        <v>9.5</v>
      </c>
    </row>
    <row r="4" spans="1:2" x14ac:dyDescent="0.25">
      <c r="A4" t="s">
        <v>264</v>
      </c>
      <c r="B4">
        <v>6.8</v>
      </c>
    </row>
    <row r="5" spans="1:2" x14ac:dyDescent="0.25">
      <c r="A5" t="s">
        <v>265</v>
      </c>
      <c r="B5">
        <v>6.5</v>
      </c>
    </row>
    <row r="6" spans="1:2" x14ac:dyDescent="0.25">
      <c r="A6" t="s">
        <v>266</v>
      </c>
      <c r="B6">
        <v>7</v>
      </c>
    </row>
    <row r="7" spans="1:2" x14ac:dyDescent="0.25">
      <c r="A7" t="s">
        <v>267</v>
      </c>
      <c r="B7">
        <v>4.5</v>
      </c>
    </row>
    <row r="8" spans="1:2" x14ac:dyDescent="0.25">
      <c r="A8" t="s">
        <v>268</v>
      </c>
      <c r="B8">
        <v>5.5</v>
      </c>
    </row>
    <row r="9" spans="1:2" x14ac:dyDescent="0.25">
      <c r="A9" t="s">
        <v>269</v>
      </c>
      <c r="B9">
        <v>5</v>
      </c>
    </row>
    <row r="10" spans="1:2" x14ac:dyDescent="0.25">
      <c r="A10" t="s">
        <v>270</v>
      </c>
      <c r="B10">
        <v>5</v>
      </c>
    </row>
    <row r="11" spans="1:2" x14ac:dyDescent="0.25">
      <c r="A11" t="s">
        <v>271</v>
      </c>
      <c r="B11">
        <v>7.5</v>
      </c>
    </row>
    <row r="12" spans="1:2" x14ac:dyDescent="0.25">
      <c r="A12" t="s">
        <v>272</v>
      </c>
      <c r="B12">
        <v>8</v>
      </c>
    </row>
    <row r="13" spans="1:2" x14ac:dyDescent="0.25">
      <c r="A13" t="s">
        <v>273</v>
      </c>
      <c r="B13">
        <v>7.5</v>
      </c>
    </row>
    <row r="14" spans="1:2" x14ac:dyDescent="0.25">
      <c r="A14" t="s">
        <v>274</v>
      </c>
      <c r="B14">
        <v>5.5</v>
      </c>
    </row>
    <row r="15" spans="1:2" x14ac:dyDescent="0.25">
      <c r="A15" t="s">
        <v>275</v>
      </c>
      <c r="B15">
        <v>4</v>
      </c>
    </row>
    <row r="16" spans="1:2" x14ac:dyDescent="0.25">
      <c r="A16" t="s">
        <v>276</v>
      </c>
      <c r="B16">
        <v>3</v>
      </c>
    </row>
    <row r="17" spans="1:2" x14ac:dyDescent="0.25">
      <c r="A17" t="s">
        <v>277</v>
      </c>
      <c r="B17">
        <v>4.5</v>
      </c>
    </row>
    <row r="18" spans="1:2" x14ac:dyDescent="0.25">
      <c r="A18" t="s">
        <v>278</v>
      </c>
      <c r="B18">
        <v>2.5</v>
      </c>
    </row>
    <row r="19" spans="1:2" x14ac:dyDescent="0.25">
      <c r="A19" t="s">
        <v>279</v>
      </c>
      <c r="B19">
        <v>3.5</v>
      </c>
    </row>
    <row r="20" spans="1:2" x14ac:dyDescent="0.25">
      <c r="A20" t="s">
        <v>280</v>
      </c>
      <c r="B20">
        <v>2.5</v>
      </c>
    </row>
    <row r="21" spans="1:2" x14ac:dyDescent="0.25">
      <c r="A21" t="s">
        <v>281</v>
      </c>
      <c r="B21">
        <v>3</v>
      </c>
    </row>
    <row r="22" spans="1:2" x14ac:dyDescent="0.25">
      <c r="A22" t="s">
        <v>282</v>
      </c>
      <c r="B22">
        <v>3.5</v>
      </c>
    </row>
    <row r="23" spans="1:2" x14ac:dyDescent="0.25">
      <c r="A23" t="s">
        <v>283</v>
      </c>
      <c r="B23">
        <v>2</v>
      </c>
    </row>
    <row r="24" spans="1:2" x14ac:dyDescent="0.25">
      <c r="A24" t="s">
        <v>284</v>
      </c>
      <c r="B24">
        <v>2.5</v>
      </c>
    </row>
    <row r="25" spans="1:2" x14ac:dyDescent="0.25">
      <c r="A25" t="s">
        <v>285</v>
      </c>
      <c r="B25">
        <v>3.5</v>
      </c>
    </row>
    <row r="26" spans="1:2" x14ac:dyDescent="0.25">
      <c r="A26" t="s">
        <v>286</v>
      </c>
      <c r="B26">
        <v>4.5</v>
      </c>
    </row>
    <row r="27" spans="1:2" x14ac:dyDescent="0.25">
      <c r="A27" t="s">
        <v>287</v>
      </c>
      <c r="B27">
        <v>4</v>
      </c>
    </row>
    <row r="28" spans="1:2" x14ac:dyDescent="0.25">
      <c r="A28" t="s">
        <v>288</v>
      </c>
      <c r="B28">
        <v>4</v>
      </c>
    </row>
    <row r="29" spans="1:2" x14ac:dyDescent="0.25">
      <c r="A29" t="s">
        <v>289</v>
      </c>
      <c r="B29">
        <v>1.5</v>
      </c>
    </row>
    <row r="30" spans="1:2" x14ac:dyDescent="0.25">
      <c r="A30" t="s">
        <v>290</v>
      </c>
      <c r="B30">
        <v>2</v>
      </c>
    </row>
    <row r="31" spans="1:2" x14ac:dyDescent="0.25">
      <c r="A31" t="s">
        <v>291</v>
      </c>
      <c r="B31">
        <v>2</v>
      </c>
    </row>
    <row r="32" spans="1:2" x14ac:dyDescent="0.25">
      <c r="A32" t="s">
        <v>292</v>
      </c>
      <c r="B32">
        <v>1.8</v>
      </c>
    </row>
    <row r="33" spans="1:2" x14ac:dyDescent="0.25">
      <c r="A33" t="s">
        <v>293</v>
      </c>
      <c r="B33">
        <v>2.5</v>
      </c>
    </row>
    <row r="34" spans="1:2" x14ac:dyDescent="0.25">
      <c r="A34" t="s">
        <v>294</v>
      </c>
      <c r="B34">
        <v>2</v>
      </c>
    </row>
    <row r="35" spans="1:2" x14ac:dyDescent="0.25">
      <c r="A35" t="s">
        <v>295</v>
      </c>
      <c r="B35">
        <v>1.5</v>
      </c>
    </row>
    <row r="36" spans="1:2" x14ac:dyDescent="0.25">
      <c r="A36" t="s">
        <v>296</v>
      </c>
      <c r="B36">
        <v>2</v>
      </c>
    </row>
    <row r="37" spans="1:2" x14ac:dyDescent="0.25">
      <c r="A37" t="s">
        <v>297</v>
      </c>
      <c r="B37">
        <v>2</v>
      </c>
    </row>
    <row r="38" spans="1:2" x14ac:dyDescent="0.25">
      <c r="A38" t="s">
        <v>298</v>
      </c>
      <c r="B38">
        <v>5.5</v>
      </c>
    </row>
    <row r="39" spans="1:2" x14ac:dyDescent="0.25">
      <c r="A39" t="s">
        <v>129</v>
      </c>
      <c r="B39">
        <v>6</v>
      </c>
    </row>
    <row r="40" spans="1:2" x14ac:dyDescent="0.25">
      <c r="A40" t="s">
        <v>299</v>
      </c>
      <c r="B40">
        <v>9.5</v>
      </c>
    </row>
    <row r="41" spans="1:2" x14ac:dyDescent="0.25">
      <c r="A41" t="s">
        <v>300</v>
      </c>
      <c r="B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of Living Analysis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Angkuran Dey</cp:lastModifiedBy>
  <dcterms:created xsi:type="dcterms:W3CDTF">2026-02-13T06:19:23Z</dcterms:created>
  <dcterms:modified xsi:type="dcterms:W3CDTF">2026-02-13T06:56:06Z</dcterms:modified>
</cp:coreProperties>
</file>